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benoi\Desktop\TSS\Thousand-Suns-Saga\"/>
    </mc:Choice>
  </mc:AlternateContent>
  <xr:revisionPtr revIDLastSave="0" documentId="13_ncr:1_{982B04E6-1FD9-4BCC-9CE7-C83C3DAEA204}" xr6:coauthVersionLast="47" xr6:coauthVersionMax="47" xr10:uidLastSave="{00000000-0000-0000-0000-000000000000}"/>
  <bookViews>
    <workbookView xWindow="1170" yWindow="1170" windowWidth="16290" windowHeight="14820" firstSheet="4" activeTab="15" xr2:uid="{B955C5A0-8230-4033-B161-BBE75800DDCF}"/>
  </bookViews>
  <sheets>
    <sheet name="MapGenerator" sheetId="12" r:id="rId1"/>
    <sheet name="MG_sectors" sheetId="11" r:id="rId2"/>
    <sheet name="MG_systems_types" sheetId="22" r:id="rId3"/>
    <sheet name="MG_systems" sheetId="14" r:id="rId4"/>
    <sheet name="Techs" sheetId="4" r:id="rId5"/>
    <sheet name="Resources" sheetId="5" r:id="rId6"/>
    <sheet name="Resources_categories" sheetId="25" r:id="rId7"/>
    <sheet name="Buildings" sheetId="27" r:id="rId8"/>
    <sheet name="Colonies_sizes" sheetId="26" r:id="rId9"/>
    <sheet name="|||" sheetId="10" r:id="rId10"/>
    <sheet name="Equipment" sheetId="18" r:id="rId11"/>
    <sheet name="Units" sheetId="20" r:id="rId12"/>
    <sheet name="Fleet" sheetId="1" r:id="rId13"/>
    <sheet name="Buildings old" sheetId="2" r:id="rId14"/>
    <sheet name="Special techs" sheetId="3" r:id="rId15"/>
    <sheet name="Era" sheetId="6" r:id="rId16"/>
    <sheet name="Era 2" sheetId="24" r:id="rId17"/>
    <sheet name="Ressources" sheetId="8" r:id="rId18"/>
    <sheet name="Productions" sheetId="17" r:id="rId19"/>
  </sheets>
  <definedNames>
    <definedName name="_xlnm._FilterDatabase" localSheetId="7" hidden="1">Buildings!$C$257:$G$319</definedName>
    <definedName name="_xlnm._FilterDatabase" localSheetId="13" hidden="1">'Buildings old'!$A$182:$D$257</definedName>
    <definedName name="_xlnm._FilterDatabase" localSheetId="10" hidden="1">Equipment!$A$1:$G$1</definedName>
    <definedName name="_xlnm._FilterDatabase" localSheetId="4" hidden="1">Techs!$A$1:$P$1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1" i="22" l="1"/>
  <c r="AJ18" i="5"/>
  <c r="AJ8" i="5"/>
  <c r="AJ26" i="5"/>
  <c r="AP31" i="5"/>
  <c r="AO31" i="5"/>
  <c r="AN31" i="5"/>
  <c r="AM31" i="5"/>
  <c r="AL31" i="5"/>
  <c r="AK31" i="5"/>
  <c r="AJ31" i="5"/>
  <c r="AP30" i="5"/>
  <c r="AO30" i="5"/>
  <c r="AN30" i="5"/>
  <c r="AM30" i="5"/>
  <c r="AL30" i="5"/>
  <c r="AK30" i="5"/>
  <c r="AJ30" i="5"/>
  <c r="AP29" i="5"/>
  <c r="AO29" i="5"/>
  <c r="AN29" i="5"/>
  <c r="AM29" i="5"/>
  <c r="AL29" i="5"/>
  <c r="AK29" i="5"/>
  <c r="AJ29" i="5"/>
  <c r="AP28" i="5"/>
  <c r="AO28" i="5"/>
  <c r="AN28" i="5"/>
  <c r="AM28" i="5"/>
  <c r="AL28" i="5"/>
  <c r="AK28" i="5"/>
  <c r="AJ28" i="5"/>
  <c r="AP27" i="5"/>
  <c r="AO27" i="5"/>
  <c r="AN27" i="5"/>
  <c r="AM27" i="5"/>
  <c r="AL27" i="5"/>
  <c r="AK27" i="5"/>
  <c r="AJ27" i="5"/>
  <c r="AP26" i="5"/>
  <c r="AO26" i="5"/>
  <c r="AN26" i="5"/>
  <c r="AM26" i="5"/>
  <c r="AL26" i="5"/>
  <c r="AK26" i="5"/>
  <c r="AJ22" i="5"/>
  <c r="AK22" i="5"/>
  <c r="AL22" i="5"/>
  <c r="AM22" i="5"/>
  <c r="AN22" i="5"/>
  <c r="AO22" i="5"/>
  <c r="AP22" i="5"/>
  <c r="AJ23" i="5"/>
  <c r="AK23" i="5"/>
  <c r="AL23" i="5"/>
  <c r="AM23" i="5"/>
  <c r="AN23" i="5"/>
  <c r="AO23" i="5"/>
  <c r="AP23" i="5"/>
  <c r="AP18" i="5"/>
  <c r="AO18" i="5"/>
  <c r="AN18" i="5"/>
  <c r="AM18" i="5"/>
  <c r="AL18" i="5"/>
  <c r="AK18" i="5"/>
  <c r="AP21" i="5"/>
  <c r="AO21" i="5"/>
  <c r="AN21" i="5"/>
  <c r="AM21" i="5"/>
  <c r="AL21" i="5"/>
  <c r="AK21" i="5"/>
  <c r="AJ21" i="5"/>
  <c r="AP20" i="5"/>
  <c r="AO20" i="5"/>
  <c r="AN20" i="5"/>
  <c r="AM20" i="5"/>
  <c r="AL20" i="5"/>
  <c r="AK20" i="5"/>
  <c r="AJ20" i="5"/>
  <c r="AP19" i="5"/>
  <c r="AO19" i="5"/>
  <c r="AN19" i="5"/>
  <c r="AM19" i="5"/>
  <c r="AL19" i="5"/>
  <c r="AK19" i="5"/>
  <c r="AJ19" i="5"/>
  <c r="AP15" i="5"/>
  <c r="AO15" i="5"/>
  <c r="AN15" i="5"/>
  <c r="AM15" i="5"/>
  <c r="AL15" i="5"/>
  <c r="AK15" i="5"/>
  <c r="AJ15" i="5"/>
  <c r="AP14" i="5"/>
  <c r="AO14" i="5"/>
  <c r="AN14" i="5"/>
  <c r="AM14" i="5"/>
  <c r="AL14" i="5"/>
  <c r="AK14" i="5"/>
  <c r="AJ14" i="5"/>
  <c r="AP13" i="5"/>
  <c r="AO13" i="5"/>
  <c r="AN13" i="5"/>
  <c r="AM13" i="5"/>
  <c r="AL13" i="5"/>
  <c r="AK13" i="5"/>
  <c r="AJ13" i="5"/>
  <c r="AK8" i="5"/>
  <c r="AL8" i="5"/>
  <c r="AM8" i="5"/>
  <c r="AN8" i="5"/>
  <c r="AO8" i="5"/>
  <c r="AP8" i="5"/>
  <c r="AJ9" i="5"/>
  <c r="AK9" i="5"/>
  <c r="AL9" i="5"/>
  <c r="AM9" i="5"/>
  <c r="AN9" i="5"/>
  <c r="AO9" i="5"/>
  <c r="AP9" i="5"/>
  <c r="AJ10" i="5"/>
  <c r="AK10" i="5"/>
  <c r="AL10" i="5"/>
  <c r="AM10" i="5"/>
  <c r="AN10" i="5"/>
  <c r="AO10" i="5"/>
  <c r="AP10" i="5"/>
  <c r="AK7" i="5"/>
  <c r="AL7" i="5"/>
  <c r="AM7" i="5"/>
  <c r="AN7" i="5"/>
  <c r="AO7" i="5"/>
  <c r="AP7" i="5"/>
  <c r="AJ7" i="5"/>
  <c r="B31" i="22"/>
  <c r="D31" i="22"/>
  <c r="E31" i="22"/>
  <c r="F31" i="22"/>
  <c r="G31" i="22"/>
  <c r="H31" i="22"/>
  <c r="I31" i="22"/>
  <c r="J31" i="22"/>
  <c r="K31" i="22"/>
  <c r="L31" i="22"/>
  <c r="M31" i="22"/>
  <c r="N31" i="22"/>
  <c r="B36" i="22"/>
  <c r="C36" i="22"/>
  <c r="D36" i="22"/>
  <c r="E36" i="22"/>
  <c r="F36" i="22"/>
  <c r="G36" i="22"/>
  <c r="H36" i="22"/>
  <c r="I36" i="22"/>
  <c r="J36" i="22"/>
  <c r="K36" i="22"/>
  <c r="L36" i="22"/>
  <c r="M36" i="22"/>
  <c r="N36" i="22"/>
  <c r="B37" i="22"/>
  <c r="C37" i="22"/>
  <c r="D37" i="22"/>
  <c r="E37" i="22"/>
  <c r="F37" i="22"/>
  <c r="G37" i="22"/>
  <c r="H37" i="22"/>
  <c r="I37" i="22"/>
  <c r="J37" i="22"/>
  <c r="K37" i="22"/>
  <c r="L37" i="22"/>
  <c r="M37" i="22"/>
  <c r="N37" i="22"/>
  <c r="B38" i="22"/>
  <c r="C38" i="22"/>
  <c r="D38" i="22"/>
  <c r="E38" i="22"/>
  <c r="F38" i="22"/>
  <c r="G38" i="22"/>
  <c r="H38" i="22"/>
  <c r="I38" i="22"/>
  <c r="J38" i="22"/>
  <c r="K38" i="22"/>
  <c r="L38" i="22"/>
  <c r="M38" i="22"/>
  <c r="N38" i="22"/>
  <c r="B39" i="22"/>
  <c r="C39" i="22"/>
  <c r="D39" i="22"/>
  <c r="E39" i="22"/>
  <c r="F39" i="22"/>
  <c r="G39" i="22"/>
  <c r="H39" i="22"/>
  <c r="I39" i="22"/>
  <c r="J39" i="22"/>
  <c r="K39" i="22"/>
  <c r="L39" i="22"/>
  <c r="M39" i="22"/>
  <c r="N39" i="22"/>
  <c r="B40" i="22"/>
  <c r="C40" i="22"/>
  <c r="D40" i="22"/>
  <c r="E40" i="22"/>
  <c r="F40" i="22"/>
  <c r="G40" i="22"/>
  <c r="H40" i="22"/>
  <c r="I40" i="22"/>
  <c r="J40" i="22"/>
  <c r="K40" i="22"/>
  <c r="L40" i="22"/>
  <c r="M40" i="22"/>
  <c r="N40" i="22"/>
  <c r="B41" i="22"/>
  <c r="C41" i="22"/>
  <c r="D41" i="22"/>
  <c r="E41" i="22"/>
  <c r="F41" i="22"/>
  <c r="G41" i="22"/>
  <c r="H41" i="22"/>
  <c r="I41" i="22"/>
  <c r="J41" i="22"/>
  <c r="K41" i="22"/>
  <c r="L41" i="22"/>
  <c r="M41" i="22"/>
  <c r="N41" i="22"/>
  <c r="B42" i="22"/>
  <c r="C42" i="22"/>
  <c r="D42" i="22"/>
  <c r="E42" i="22"/>
  <c r="F42" i="22"/>
  <c r="G42" i="22"/>
  <c r="H42" i="22"/>
  <c r="I42" i="22"/>
  <c r="J42" i="22"/>
  <c r="K42" i="22"/>
  <c r="L42" i="22"/>
  <c r="M42" i="22"/>
  <c r="N42" i="22"/>
  <c r="B43" i="22"/>
  <c r="C43" i="22"/>
  <c r="D43" i="22"/>
  <c r="E43" i="22"/>
  <c r="F43" i="22"/>
  <c r="G43" i="22"/>
  <c r="H43" i="22"/>
  <c r="I43" i="22"/>
  <c r="J43" i="22"/>
  <c r="K43" i="22"/>
  <c r="L43" i="22"/>
  <c r="M43" i="22"/>
  <c r="N43" i="22"/>
  <c r="B44" i="22"/>
  <c r="C44" i="22"/>
  <c r="D44" i="22"/>
  <c r="E44" i="22"/>
  <c r="F44" i="22"/>
  <c r="G44" i="22"/>
  <c r="H44" i="22"/>
  <c r="I44" i="22"/>
  <c r="J44" i="22"/>
  <c r="K44" i="22"/>
  <c r="L44" i="22"/>
  <c r="M44" i="22"/>
  <c r="N44" i="22"/>
  <c r="B45" i="22"/>
  <c r="C45" i="22"/>
  <c r="D45" i="22"/>
  <c r="E45" i="22"/>
  <c r="F45" i="22"/>
  <c r="G45" i="22"/>
  <c r="H45" i="22"/>
  <c r="I45" i="22"/>
  <c r="J45" i="22"/>
  <c r="K45" i="22"/>
  <c r="L45" i="22"/>
  <c r="M45" i="22"/>
  <c r="N45" i="22"/>
  <c r="B46" i="22"/>
  <c r="C46" i="22"/>
  <c r="D46" i="22"/>
  <c r="E46" i="22"/>
  <c r="F46" i="22"/>
  <c r="G46" i="22"/>
  <c r="H46" i="22"/>
  <c r="I46" i="22"/>
  <c r="J46" i="22"/>
  <c r="K46" i="22"/>
  <c r="L46" i="22"/>
  <c r="M46" i="22"/>
  <c r="N46" i="22"/>
  <c r="B47" i="22"/>
  <c r="C47" i="22"/>
  <c r="D47" i="22"/>
  <c r="E47" i="22"/>
  <c r="F47" i="22"/>
  <c r="G47" i="22"/>
  <c r="H47" i="22"/>
  <c r="I47" i="22"/>
  <c r="J47" i="22"/>
  <c r="K47" i="22"/>
  <c r="L47" i="22"/>
  <c r="M47" i="22"/>
  <c r="N47" i="22"/>
  <c r="B48" i="22"/>
  <c r="C48" i="22"/>
  <c r="D48" i="22"/>
  <c r="E48" i="22"/>
  <c r="F48" i="22"/>
  <c r="G48" i="22"/>
  <c r="H48" i="22"/>
  <c r="I48" i="22"/>
  <c r="J48" i="22"/>
  <c r="K48" i="22"/>
  <c r="L48" i="22"/>
  <c r="M48" i="22"/>
  <c r="N48" i="22"/>
  <c r="B49" i="22"/>
  <c r="C49" i="22"/>
  <c r="D49" i="22"/>
  <c r="E49" i="22"/>
  <c r="F49" i="22"/>
  <c r="G49" i="22"/>
  <c r="H49" i="22"/>
  <c r="I49" i="22"/>
  <c r="J49" i="22"/>
  <c r="K49" i="22"/>
  <c r="L49" i="22"/>
  <c r="M49" i="22"/>
  <c r="N49" i="22"/>
  <c r="B50" i="22"/>
  <c r="C50" i="22"/>
  <c r="D50" i="22"/>
  <c r="E50" i="22"/>
  <c r="F50" i="22"/>
  <c r="G50" i="22"/>
  <c r="H50" i="22"/>
  <c r="I50" i="22"/>
  <c r="J50" i="22"/>
  <c r="K50" i="22"/>
  <c r="L50" i="22"/>
  <c r="M50" i="22"/>
  <c r="N50" i="22"/>
  <c r="B51" i="22"/>
  <c r="C51" i="22"/>
  <c r="D51" i="22"/>
  <c r="E51" i="22"/>
  <c r="F51" i="22"/>
  <c r="G51" i="22"/>
  <c r="H51" i="22"/>
  <c r="I51" i="22"/>
  <c r="J51" i="22"/>
  <c r="L51" i="22"/>
  <c r="M51" i="22"/>
  <c r="N51" i="22"/>
  <c r="B52" i="22"/>
  <c r="C52" i="22"/>
  <c r="D52" i="22"/>
  <c r="E52" i="22"/>
  <c r="F52" i="22"/>
  <c r="G52" i="22"/>
  <c r="H52" i="22"/>
  <c r="I52" i="22"/>
  <c r="J52" i="22"/>
  <c r="K52" i="22"/>
  <c r="L52" i="22"/>
  <c r="M52" i="22"/>
  <c r="N52" i="22"/>
  <c r="B53" i="22"/>
  <c r="C53" i="22"/>
  <c r="D53" i="22"/>
  <c r="E53" i="22"/>
  <c r="F53" i="22"/>
  <c r="G53" i="22"/>
  <c r="H53" i="22"/>
  <c r="I53" i="22"/>
  <c r="J53" i="22"/>
  <c r="K53" i="22"/>
  <c r="L53" i="22"/>
  <c r="M53" i="22"/>
  <c r="N53" i="22"/>
  <c r="K34" i="11"/>
  <c r="I33" i="11"/>
  <c r="H33" i="11"/>
  <c r="G33" i="11"/>
  <c r="F33" i="11"/>
  <c r="D32" i="11"/>
  <c r="C32" i="11"/>
  <c r="B33" i="11"/>
  <c r="H40" i="11"/>
  <c r="H41" i="11"/>
  <c r="H43" i="11"/>
  <c r="I44" i="11"/>
  <c r="H46" i="11"/>
  <c r="H47" i="11"/>
  <c r="H49" i="11"/>
  <c r="H38" i="11"/>
  <c r="C36" i="11"/>
  <c r="C43" i="11" s="1"/>
  <c r="D36" i="11"/>
  <c r="D45" i="11" s="1"/>
  <c r="F36" i="11"/>
  <c r="F42" i="11" s="1"/>
  <c r="G36" i="11"/>
  <c r="G40" i="11" s="1"/>
  <c r="H36" i="11"/>
  <c r="H44" i="11" s="1"/>
  <c r="I36" i="11"/>
  <c r="I49" i="11" s="1"/>
  <c r="K36" i="11"/>
  <c r="K46" i="11" s="1"/>
  <c r="B36" i="11"/>
  <c r="B34" i="14"/>
  <c r="C33" i="14"/>
  <c r="D33" i="14"/>
  <c r="E33" i="14"/>
  <c r="F33" i="14"/>
  <c r="G33" i="14"/>
  <c r="H33" i="14"/>
  <c r="I33" i="14"/>
  <c r="J33" i="14"/>
  <c r="K33" i="14"/>
  <c r="L33" i="14"/>
  <c r="M33" i="14"/>
  <c r="N33" i="14"/>
  <c r="O33" i="14"/>
  <c r="P33" i="14"/>
  <c r="Q33" i="14"/>
  <c r="R33" i="14"/>
  <c r="S33" i="14"/>
  <c r="C34" i="14"/>
  <c r="D34" i="14"/>
  <c r="E34" i="14"/>
  <c r="F34" i="14"/>
  <c r="G34" i="14"/>
  <c r="H34" i="14"/>
  <c r="I34" i="14"/>
  <c r="J34" i="14"/>
  <c r="K34" i="14"/>
  <c r="L34" i="14"/>
  <c r="M34" i="14"/>
  <c r="N34" i="14"/>
  <c r="O34" i="14"/>
  <c r="P34" i="14"/>
  <c r="Q34" i="14"/>
  <c r="R34" i="14"/>
  <c r="S34" i="14"/>
  <c r="C35" i="14"/>
  <c r="D35" i="14"/>
  <c r="E35" i="14"/>
  <c r="F35" i="14"/>
  <c r="G35" i="14"/>
  <c r="H35" i="14"/>
  <c r="I35" i="14"/>
  <c r="J35" i="14"/>
  <c r="K35" i="14"/>
  <c r="L35" i="14"/>
  <c r="M35" i="14"/>
  <c r="N35" i="14"/>
  <c r="O35" i="14"/>
  <c r="P35" i="14"/>
  <c r="Q35" i="14"/>
  <c r="R35" i="14"/>
  <c r="S35" i="14"/>
  <c r="B35" i="14"/>
  <c r="B33" i="14"/>
  <c r="K48" i="11" l="1"/>
  <c r="K45" i="11"/>
  <c r="K41" i="11"/>
  <c r="K38" i="11"/>
  <c r="K44" i="11"/>
  <c r="K43" i="11"/>
  <c r="K49" i="11"/>
  <c r="K42" i="11"/>
  <c r="K47" i="11"/>
  <c r="K40" i="11"/>
  <c r="I43" i="11"/>
  <c r="I47" i="11"/>
  <c r="I48" i="11"/>
  <c r="I42" i="11"/>
  <c r="I46" i="11"/>
  <c r="I41" i="11"/>
  <c r="I38" i="11"/>
  <c r="I40" i="11"/>
  <c r="I45" i="11"/>
  <c r="F45" i="11"/>
  <c r="F48" i="11"/>
  <c r="D48" i="11"/>
  <c r="D42" i="11"/>
  <c r="C49" i="11"/>
  <c r="C46" i="11"/>
  <c r="C42" i="11"/>
  <c r="C48" i="11"/>
  <c r="C45" i="11"/>
  <c r="B39" i="11"/>
  <c r="I39" i="11"/>
  <c r="H39" i="11"/>
  <c r="I32" i="11"/>
  <c r="H32" i="11"/>
  <c r="D39" i="11"/>
  <c r="G32" i="11"/>
  <c r="K39" i="11"/>
  <c r="F32" i="11"/>
  <c r="D33" i="11"/>
  <c r="C33" i="11"/>
  <c r="K32" i="11"/>
  <c r="C39" i="11"/>
  <c r="B32" i="11"/>
  <c r="F39" i="11"/>
  <c r="B46" i="11"/>
  <c r="B43" i="11"/>
  <c r="B49" i="11"/>
  <c r="B38" i="11"/>
  <c r="F40" i="11"/>
  <c r="D40" i="11"/>
  <c r="C40" i="11"/>
  <c r="B40" i="11"/>
  <c r="F43" i="11"/>
  <c r="D49" i="11"/>
  <c r="D46" i="11"/>
  <c r="D43" i="11"/>
  <c r="G47" i="11"/>
  <c r="G44" i="11"/>
  <c r="G41" i="11"/>
  <c r="F47" i="11"/>
  <c r="F44" i="11"/>
  <c r="F41" i="11"/>
  <c r="D44" i="11"/>
  <c r="D41" i="11"/>
  <c r="D38" i="11"/>
  <c r="H48" i="11"/>
  <c r="C47" i="11"/>
  <c r="H45" i="11"/>
  <c r="C44" i="11"/>
  <c r="H42" i="11"/>
  <c r="C41" i="11"/>
  <c r="F49" i="11"/>
  <c r="F46" i="11"/>
  <c r="G38" i="11"/>
  <c r="F38" i="11"/>
  <c r="D47" i="11"/>
  <c r="C38" i="11"/>
  <c r="G48" i="11"/>
  <c r="B47" i="11"/>
  <c r="G45" i="11"/>
  <c r="B44" i="11"/>
  <c r="G42" i="11"/>
  <c r="B41" i="11"/>
  <c r="G39" i="11"/>
  <c r="G49" i="11"/>
  <c r="B48" i="11"/>
  <c r="G46" i="11"/>
  <c r="B45" i="11"/>
  <c r="G43" i="11"/>
  <c r="B42" i="11"/>
</calcChain>
</file>

<file path=xl/sharedStrings.xml><?xml version="1.0" encoding="utf-8"?>
<sst xmlns="http://schemas.openxmlformats.org/spreadsheetml/2006/main" count="3897" uniqueCount="1615">
  <si>
    <t>LINE</t>
  </si>
  <si>
    <t>FLANK</t>
  </si>
  <si>
    <t>Chasseur</t>
  </si>
  <si>
    <t>Intercepteur</t>
  </si>
  <si>
    <t>Bombardier</t>
  </si>
  <si>
    <t>Torpilleur</t>
  </si>
  <si>
    <t>Patrouilleur</t>
  </si>
  <si>
    <t>Corvette</t>
  </si>
  <si>
    <t>Frégate</t>
  </si>
  <si>
    <t>Destroyer</t>
  </si>
  <si>
    <t>Croiseur</t>
  </si>
  <si>
    <t>Croiseur de bataille</t>
  </si>
  <si>
    <t>Cuirassé</t>
  </si>
  <si>
    <t>Dreadnought</t>
  </si>
  <si>
    <t>BACK</t>
  </si>
  <si>
    <t>Porte-nef de soutien</t>
  </si>
  <si>
    <t>Porte-nef de bataille</t>
  </si>
  <si>
    <t>Porte-nef</t>
  </si>
  <si>
    <t>Ravitailleur</t>
  </si>
  <si>
    <t>Barge de combat</t>
  </si>
  <si>
    <t>Barge</t>
  </si>
  <si>
    <t>Flak</t>
  </si>
  <si>
    <t>Attaque légère</t>
  </si>
  <si>
    <t>Attaque lourde</t>
  </si>
  <si>
    <t>Mobilité</t>
  </si>
  <si>
    <t>Furtivité</t>
  </si>
  <si>
    <t>Résistance</t>
  </si>
  <si>
    <t>QUARTIER</t>
  </si>
  <si>
    <t>Civil</t>
  </si>
  <si>
    <t>Industriel</t>
  </si>
  <si>
    <t>Commercial</t>
  </si>
  <si>
    <t>Energétique</t>
  </si>
  <si>
    <t>Agricole</t>
  </si>
  <si>
    <t>Militaire</t>
  </si>
  <si>
    <t>Résidences riches</t>
  </si>
  <si>
    <t>Cité High-tech</t>
  </si>
  <si>
    <t>Cité moderne</t>
  </si>
  <si>
    <t>Bidonville vertical</t>
  </si>
  <si>
    <t>Mégapole</t>
  </si>
  <si>
    <t>Campement</t>
  </si>
  <si>
    <t>Métropole moderne</t>
  </si>
  <si>
    <t>Cité dortoir</t>
  </si>
  <si>
    <t>Métropole pauvre</t>
  </si>
  <si>
    <t>Fermes traditionnelles</t>
  </si>
  <si>
    <t>Agriculture biologique</t>
  </si>
  <si>
    <t>Agriculture intensive</t>
  </si>
  <si>
    <t>Fermes hydroponiques</t>
  </si>
  <si>
    <t>Industrie alimentaire synthétique</t>
  </si>
  <si>
    <t>Usines de biens de consommation</t>
  </si>
  <si>
    <t>Scientifique</t>
  </si>
  <si>
    <t>Robotique</t>
  </si>
  <si>
    <t>Spatial</t>
  </si>
  <si>
    <t>Usines d'armement</t>
  </si>
  <si>
    <t>Industrie high-tech</t>
  </si>
  <si>
    <t>Centre de R&amp;D industrielle</t>
  </si>
  <si>
    <t>Centre de loisirs</t>
  </si>
  <si>
    <t>Centre touristique de masse</t>
  </si>
  <si>
    <t>Centre historique et culturel</t>
  </si>
  <si>
    <t>Centre d'affaire</t>
  </si>
  <si>
    <t>Plateformes commerciales</t>
  </si>
  <si>
    <t>Cultures biogaz et biomasse</t>
  </si>
  <si>
    <t>Centrales énergétiques polluantes</t>
  </si>
  <si>
    <t>Centrales énergétiques modernes</t>
  </si>
  <si>
    <t>Centrales énergétiques propres</t>
  </si>
  <si>
    <t>Centrales nucléaires</t>
  </si>
  <si>
    <t>Réacteur à fusion nucléaire</t>
  </si>
  <si>
    <t>Centre de recherche énergétique</t>
  </si>
  <si>
    <t>Production électrique locale</t>
  </si>
  <si>
    <t>Laboratoire</t>
  </si>
  <si>
    <t>Centre de recherche</t>
  </si>
  <si>
    <t>Supercalculateur</t>
  </si>
  <si>
    <t>Observatoire</t>
  </si>
  <si>
    <t>Accélérateur de particules</t>
  </si>
  <si>
    <t>Centres de maintenance</t>
  </si>
  <si>
    <t>Usines d'automates</t>
  </si>
  <si>
    <t>Noyau cybernétique</t>
  </si>
  <si>
    <t>Centre de logistique robotique</t>
  </si>
  <si>
    <t>Système de supervision</t>
  </si>
  <si>
    <t>Réduit conso électriqu</t>
  </si>
  <si>
    <t>Réduit conso biens et métaux</t>
  </si>
  <si>
    <t>Astroport rudimentaire</t>
  </si>
  <si>
    <t>Astroport avancé</t>
  </si>
  <si>
    <t>Canon orbiteur</t>
  </si>
  <si>
    <t>Chantier spatial</t>
  </si>
  <si>
    <t>Ascenceur spatial</t>
  </si>
  <si>
    <t>Crochet orbital</t>
  </si>
  <si>
    <t>Caserne</t>
  </si>
  <si>
    <t>Base de blindés</t>
  </si>
  <si>
    <t>Base aérospatiale</t>
  </si>
  <si>
    <t>Aéroport militaire</t>
  </si>
  <si>
    <t>Centre d'entrainement</t>
  </si>
  <si>
    <t>Forteresse</t>
  </si>
  <si>
    <t>Retranchements</t>
  </si>
  <si>
    <t>Secteur fortifié</t>
  </si>
  <si>
    <t>Défenses anti-aériennes</t>
  </si>
  <si>
    <t>Défenses anti-missiles</t>
  </si>
  <si>
    <t>Bouclier</t>
  </si>
  <si>
    <t>Batterie de missiles</t>
  </si>
  <si>
    <t>Batterie de canons lourds</t>
  </si>
  <si>
    <t>Batterie de canons laser</t>
  </si>
  <si>
    <t>Abris civils</t>
  </si>
  <si>
    <t>Artillerie lourde</t>
  </si>
  <si>
    <t>Ville souterraine</t>
  </si>
  <si>
    <t>Ville garnison</t>
  </si>
  <si>
    <t>LOW-TECH</t>
  </si>
  <si>
    <t>MIDDLE-TECH</t>
  </si>
  <si>
    <t>HIGH-TECH</t>
  </si>
  <si>
    <t>ULTRA-TECH</t>
  </si>
  <si>
    <t>SINGULARITY-TECH</t>
  </si>
  <si>
    <t>Génétique</t>
  </si>
  <si>
    <t>Médecine moderne</t>
  </si>
  <si>
    <t>Bioaugmentation</t>
  </si>
  <si>
    <t>Réjuvénation</t>
  </si>
  <si>
    <t>Quasi-immortalité</t>
  </si>
  <si>
    <t>Transhumanisme génétique</t>
  </si>
  <si>
    <t>Mécanique</t>
  </si>
  <si>
    <t>Electronique</t>
  </si>
  <si>
    <t>OGM</t>
  </si>
  <si>
    <t>Interface neurale</t>
  </si>
  <si>
    <t>Manipulations agricoles</t>
  </si>
  <si>
    <t>Manipulations animales</t>
  </si>
  <si>
    <t>Membres mécaniques</t>
  </si>
  <si>
    <t>Greffes mécaniques</t>
  </si>
  <si>
    <t>Upload</t>
  </si>
  <si>
    <t>Duplication</t>
  </si>
  <si>
    <t>Robot autonome</t>
  </si>
  <si>
    <t>Synthétique</t>
  </si>
  <si>
    <t>IA</t>
  </si>
  <si>
    <t>SuperIA</t>
  </si>
  <si>
    <t>HyperIA</t>
  </si>
  <si>
    <t>SingularityIA</t>
  </si>
  <si>
    <t>Corps de rechange</t>
  </si>
  <si>
    <t>Ascension numérique</t>
  </si>
  <si>
    <t>IA mentale</t>
  </si>
  <si>
    <t>Sonde de Neumann</t>
  </si>
  <si>
    <t>Pseudo-civilisation Neumann</t>
  </si>
  <si>
    <t>Miniaturisation</t>
  </si>
  <si>
    <t>Micro-robot</t>
  </si>
  <si>
    <t>Nano-robot</t>
  </si>
  <si>
    <t>Nuée nanorobotique</t>
  </si>
  <si>
    <t>Cannonière</t>
  </si>
  <si>
    <t>Dragueur de mine</t>
  </si>
  <si>
    <t>Mouilleur de mine</t>
  </si>
  <si>
    <t>internal_name</t>
  </si>
  <si>
    <t>name</t>
  </si>
  <si>
    <t>tech_type</t>
  </si>
  <si>
    <t>description</t>
  </si>
  <si>
    <t>tech_level</t>
  </si>
  <si>
    <t>modifiers</t>
  </si>
  <si>
    <t>difficulty</t>
  </si>
  <si>
    <t>price</t>
  </si>
  <si>
    <t>running_event</t>
  </si>
  <si>
    <t>running_event_probability</t>
  </si>
  <si>
    <t>end_event</t>
  </si>
  <si>
    <t>end_event_probability</t>
  </si>
  <si>
    <t>requisite</t>
  </si>
  <si>
    <t>Adaptation locale</t>
  </si>
  <si>
    <t>unlock</t>
  </si>
  <si>
    <t>Urbanisme sommaire</t>
  </si>
  <si>
    <t>local_adaptation</t>
  </si>
  <si>
    <t>urbanism_basic</t>
  </si>
  <si>
    <t>social</t>
  </si>
  <si>
    <t>Bidonville vertical, Résidences riches</t>
  </si>
  <si>
    <t>Retour de la société civile</t>
  </si>
  <si>
    <t>return_to_civil_society</t>
  </si>
  <si>
    <t>Urbanisme colonial</t>
  </si>
  <si>
    <t>urbanism_colonial</t>
  </si>
  <si>
    <t>urbanism</t>
  </si>
  <si>
    <t>biology</t>
  </si>
  <si>
    <t>Adaptation agricole</t>
  </si>
  <si>
    <t>farming_adaptation</t>
  </si>
  <si>
    <t>Agriculture écologique</t>
  </si>
  <si>
    <t>Hydroponie</t>
  </si>
  <si>
    <t>farming_intensive</t>
  </si>
  <si>
    <t>farming_ecological</t>
  </si>
  <si>
    <t>farming_hydroponic</t>
  </si>
  <si>
    <t>Alimentation de substitution</t>
  </si>
  <si>
    <t>Alimentation synthétique</t>
  </si>
  <si>
    <t>Aliments synthétiques de qualité</t>
  </si>
  <si>
    <t>industry_food_substitute</t>
  </si>
  <si>
    <t>industry_food_synthetic</t>
  </si>
  <si>
    <t>industry_food_quality_synth</t>
  </si>
  <si>
    <t>farming_basic_theory</t>
  </si>
  <si>
    <t>Théorie agricole basique</t>
  </si>
  <si>
    <t># FARMING</t>
  </si>
  <si>
    <t># INDUSTRY</t>
  </si>
  <si>
    <t># URBANISM</t>
  </si>
  <si>
    <t>industry</t>
  </si>
  <si>
    <t>food</t>
  </si>
  <si>
    <t>#</t>
  </si>
  <si>
    <t>END_OF_FILE</t>
  </si>
  <si>
    <t>energy_research</t>
  </si>
  <si>
    <t>Centrale électrique locale</t>
  </si>
  <si>
    <t>energy_local</t>
  </si>
  <si>
    <t>Solution énergétique locale</t>
  </si>
  <si>
    <t>Recherche énergétique</t>
  </si>
  <si>
    <t>Centrale énergétique polluante</t>
  </si>
  <si>
    <t>Energie fossile locale</t>
  </si>
  <si>
    <t>energy_fossil</t>
  </si>
  <si>
    <t>Energie propre</t>
  </si>
  <si>
    <t>energy_clean</t>
  </si>
  <si>
    <t>energy_biomass</t>
  </si>
  <si>
    <t>Energie d'origine biologique</t>
  </si>
  <si>
    <t>energetic</t>
  </si>
  <si>
    <t>Culture biogaz et biomasse</t>
  </si>
  <si>
    <t>Centrale énergétique moderne</t>
  </si>
  <si>
    <t>Centrale nucléaire</t>
  </si>
  <si>
    <t>energy_biomass_manipulation</t>
  </si>
  <si>
    <t>energy_biogaz_manipulation</t>
  </si>
  <si>
    <t>Algues productrices de biomasse</t>
  </si>
  <si>
    <t>Biomasse surcalorifique</t>
  </si>
  <si>
    <t>energy_modern</t>
  </si>
  <si>
    <t>Energie fossile moderne</t>
  </si>
  <si>
    <t>Centrale énergétique propre</t>
  </si>
  <si>
    <t>Mini-robot</t>
  </si>
  <si>
    <t>Modification génétique</t>
  </si>
  <si>
    <t>medecine</t>
  </si>
  <si>
    <t>genetic</t>
  </si>
  <si>
    <t>genetic_manipulation_farm</t>
  </si>
  <si>
    <t>genetic_manipulation_animals</t>
  </si>
  <si>
    <t>rejuvenation</t>
  </si>
  <si>
    <t>transhumanism</t>
  </si>
  <si>
    <t>bioaugmentation</t>
  </si>
  <si>
    <t>corps_change</t>
  </si>
  <si>
    <t>Recherche médicale</t>
  </si>
  <si>
    <t>modern_medicine</t>
  </si>
  <si>
    <t>medical_research</t>
  </si>
  <si>
    <t>genetic_manipulation</t>
  </si>
  <si>
    <t>quasi_immortality</t>
  </si>
  <si>
    <t xml:space="preserve">genetic_manipulation_farm, energy_biomass </t>
  </si>
  <si>
    <t>genetic_manipulation_animals, energy_biomass</t>
  </si>
  <si>
    <t># BIOLOGY</t>
  </si>
  <si>
    <t># ENERGY</t>
  </si>
  <si>
    <t># ELECTRONIC</t>
  </si>
  <si>
    <t>cerebral_hyperaugmentation</t>
  </si>
  <si>
    <t>Hyperaugmentation cérébrale</t>
  </si>
  <si>
    <t>electronic</t>
  </si>
  <si>
    <t>cybernetic</t>
  </si>
  <si>
    <t>neural_interface</t>
  </si>
  <si>
    <t>IA intégrée neurale</t>
  </si>
  <si>
    <t>neural_ia</t>
  </si>
  <si>
    <t>upload</t>
  </si>
  <si>
    <t>duplication</t>
  </si>
  <si>
    <t>numerical_ascension</t>
  </si>
  <si>
    <t>Greffes cybernétiques</t>
  </si>
  <si>
    <t>Prothèse mécanique</t>
  </si>
  <si>
    <t>mechanical_prosthesis</t>
  </si>
  <si>
    <t>cybernetic_transplant</t>
  </si>
  <si>
    <t>mechanic</t>
  </si>
  <si>
    <t>autonomous_robot</t>
  </si>
  <si>
    <t>Androïd</t>
  </si>
  <si>
    <t>android</t>
  </si>
  <si>
    <t>robotic</t>
  </si>
  <si>
    <t>ia</t>
  </si>
  <si>
    <t># CYBERNETIC</t>
  </si>
  <si>
    <t>ia_super</t>
  </si>
  <si>
    <t>ia_hyper</t>
  </si>
  <si>
    <t>ia_singularity</t>
  </si>
  <si>
    <t>Capacités de Neumann étendues</t>
  </si>
  <si>
    <t># NANOROBOT</t>
  </si>
  <si>
    <t>miniaturisation</t>
  </si>
  <si>
    <t>robot_mini</t>
  </si>
  <si>
    <t>robot_micro</t>
  </si>
  <si>
    <t>robot_nano</t>
  </si>
  <si>
    <t>nanorobotic</t>
  </si>
  <si>
    <t>Mini-robot recycleur</t>
  </si>
  <si>
    <t>robot_mini_recycler</t>
  </si>
  <si>
    <t>Mini-robot nettoyeur</t>
  </si>
  <si>
    <t>robot_mini_cleaner</t>
  </si>
  <si>
    <t>military</t>
  </si>
  <si>
    <t>robot_micro_medical</t>
  </si>
  <si>
    <t>robot_micro_cleaner</t>
  </si>
  <si>
    <t>robot_micro_recycler</t>
  </si>
  <si>
    <t>robot_micro_industrial</t>
  </si>
  <si>
    <t>robot_micro_antiswarm</t>
  </si>
  <si>
    <t>robot_nano_medical</t>
  </si>
  <si>
    <t>robot_nano_cleaner</t>
  </si>
  <si>
    <t>robot_nano_recycler</t>
  </si>
  <si>
    <t>robot_nano_industrial</t>
  </si>
  <si>
    <t>robot_nano_replicator</t>
  </si>
  <si>
    <t>robot_nano_antiswarm</t>
  </si>
  <si>
    <t>robot_nano_swarm</t>
  </si>
  <si>
    <t># NEUMANN</t>
  </si>
  <si>
    <t>Micro-robot médical</t>
  </si>
  <si>
    <t>Micro-robot nettoyeur</t>
  </si>
  <si>
    <t>Micro-robot recycleur</t>
  </si>
  <si>
    <t>Micro-robot industriel</t>
  </si>
  <si>
    <t>Micro-robot anti-nuée</t>
  </si>
  <si>
    <t>Nano-robot médical</t>
  </si>
  <si>
    <t>Nano-robot nettoyeur</t>
  </si>
  <si>
    <t>Nano-robot recycleur</t>
  </si>
  <si>
    <t>Nano-robot industriel</t>
  </si>
  <si>
    <t>Nano-robot replicateur</t>
  </si>
  <si>
    <t>Nano-robot anti-nuée</t>
  </si>
  <si>
    <t>neumann_probe</t>
  </si>
  <si>
    <t>neumann_extended</t>
  </si>
  <si>
    <t>neumann_civilisation</t>
  </si>
  <si>
    <t>neumann</t>
  </si>
  <si>
    <t>COLONIAL</t>
  </si>
  <si>
    <t>CORPORATE</t>
  </si>
  <si>
    <t>POST SCARCITY</t>
  </si>
  <si>
    <t>SYNTHETIC</t>
  </si>
  <si>
    <t>Développer sa colonie</t>
  </si>
  <si>
    <t>Etablir quelques premières colonies</t>
  </si>
  <si>
    <t>Créer des routes spatiales</t>
  </si>
  <si>
    <t>Coloniser massivement</t>
  </si>
  <si>
    <t>Commencer à explorer son secteur</t>
  </si>
  <si>
    <t>Tout explorer</t>
  </si>
  <si>
    <t>Faire face aux menaces des ultra-techs</t>
  </si>
  <si>
    <t>Fin du jeu</t>
  </si>
  <si>
    <t>Envoyer des colonisateurs lointains</t>
  </si>
  <si>
    <t>Satisfaire tous les besoins de la population</t>
  </si>
  <si>
    <t>Soutenir le marché public</t>
  </si>
  <si>
    <t>Créer le marché galactique</t>
  </si>
  <si>
    <t>Réunir l'assemblée stellaire</t>
  </si>
  <si>
    <t>Fournir les flottes de cargos pour le contrôle du marché</t>
  </si>
  <si>
    <t>Etablir une utopie</t>
  </si>
  <si>
    <t>IDEES :</t>
  </si>
  <si>
    <t>Black Market</t>
  </si>
  <si>
    <t>Fission nucléaire</t>
  </si>
  <si>
    <t>Fusion nucléaire</t>
  </si>
  <si>
    <t>Antimatière</t>
  </si>
  <si>
    <t>energy_fusion</t>
  </si>
  <si>
    <t>energy_fission</t>
  </si>
  <si>
    <t>energy_antimater</t>
  </si>
  <si>
    <t>Réacteur antimatière</t>
  </si>
  <si>
    <t>Réacteur à fusion</t>
  </si>
  <si>
    <t>Moteur à hydrogène</t>
  </si>
  <si>
    <t>Superconducteurs</t>
  </si>
  <si>
    <t>Hyperconducteurs</t>
  </si>
  <si>
    <t>Superconducteurs avancés</t>
  </si>
  <si>
    <t>Hyperconducteurs avancés</t>
  </si>
  <si>
    <t>Peinture solaire</t>
  </si>
  <si>
    <t>Transmission micro-onde</t>
  </si>
  <si>
    <t>Ordinateur Quantique</t>
  </si>
  <si>
    <t>Hologramme</t>
  </si>
  <si>
    <t>Projection holographique</t>
  </si>
  <si>
    <t>Internet planétaire</t>
  </si>
  <si>
    <t>Internet sectoriel</t>
  </si>
  <si>
    <t>Internet global</t>
  </si>
  <si>
    <t>IA dédié</t>
  </si>
  <si>
    <t>IA sentiente</t>
  </si>
  <si>
    <t>IA créative</t>
  </si>
  <si>
    <t>IA Chaméléon</t>
  </si>
  <si>
    <t>Robot Chaméléon</t>
  </si>
  <si>
    <t>IA :  hack | bug |recodage aléatoire | révolte | ultimatum</t>
  </si>
  <si>
    <t>Polymères intelligents</t>
  </si>
  <si>
    <t>Tissu autonettoyants</t>
  </si>
  <si>
    <t>Tissu en spray</t>
  </si>
  <si>
    <t>Tissu adaptatif</t>
  </si>
  <si>
    <t>Implant d'euphorie</t>
  </si>
  <si>
    <t>Neurostimulant</t>
  </si>
  <si>
    <t>Monde micro-miniature</t>
  </si>
  <si>
    <t>Projection rétinienne</t>
  </si>
  <si>
    <t>Signal infrarouge</t>
  </si>
  <si>
    <t>Encryptions</t>
  </si>
  <si>
    <t>Communications par neutrinos</t>
  </si>
  <si>
    <t>Communications par vortex</t>
  </si>
  <si>
    <t>Communications par intrication quantique</t>
  </si>
  <si>
    <t>Traducteur universel</t>
  </si>
  <si>
    <t>Traducteur automatique</t>
  </si>
  <si>
    <t>Traducteur natif</t>
  </si>
  <si>
    <t>Implant neural traducteur</t>
  </si>
  <si>
    <t>Implant neural de coercition</t>
  </si>
  <si>
    <t>Paradis informationnel</t>
  </si>
  <si>
    <t>Contrôle des accès à l'internet</t>
  </si>
  <si>
    <t>Processeur de pensée neurale</t>
  </si>
  <si>
    <t>Traductions neurales</t>
  </si>
  <si>
    <t>Suite de réalité virtuelle</t>
  </si>
  <si>
    <t>Implant de réalité virtuelle</t>
  </si>
  <si>
    <t>Casque de réalité virtuelle</t>
  </si>
  <si>
    <t>Casque de vision hyperspectral</t>
  </si>
  <si>
    <t>Casque senseur électromagnétique</t>
  </si>
  <si>
    <t>Ultrascanner</t>
  </si>
  <si>
    <t>Laboratoire mobile</t>
  </si>
  <si>
    <t>Laboratoire portable</t>
  </si>
  <si>
    <t>Robot domestique</t>
  </si>
  <si>
    <t>Electroménager intelligent</t>
  </si>
  <si>
    <t>Environnement domestiqur controlé</t>
  </si>
  <si>
    <t>Autocuisine</t>
  </si>
  <si>
    <t>Douche hydrosonique</t>
  </si>
  <si>
    <t>Composants Electroniques</t>
  </si>
  <si>
    <t>Biens de consommation rudimentaires</t>
  </si>
  <si>
    <t>Food</t>
  </si>
  <si>
    <t>Nourriture de substitution</t>
  </si>
  <si>
    <t>Nourriture synthétique</t>
  </si>
  <si>
    <t>Nourriture de luxe</t>
  </si>
  <si>
    <t>LOW</t>
  </si>
  <si>
    <t>MID</t>
  </si>
  <si>
    <t>HIGH</t>
  </si>
  <si>
    <t>ULTRA</t>
  </si>
  <si>
    <t>Equipement de survie</t>
  </si>
  <si>
    <t>Machines agricoles</t>
  </si>
  <si>
    <t>Robot agricol</t>
  </si>
  <si>
    <t>Survival</t>
  </si>
  <si>
    <t>Eau</t>
  </si>
  <si>
    <t>Oxygène</t>
  </si>
  <si>
    <t>Vêtements rudimentaires</t>
  </si>
  <si>
    <t>Vêtements luxueux</t>
  </si>
  <si>
    <t>Vêtements autonettoyants</t>
  </si>
  <si>
    <t>Vêtements adaptatif</t>
  </si>
  <si>
    <t>Transports</t>
  </si>
  <si>
    <t>Transports collectifs</t>
  </si>
  <si>
    <t>Avions</t>
  </si>
  <si>
    <t>Voitures</t>
  </si>
  <si>
    <t>Ordinateurs Low Tech</t>
  </si>
  <si>
    <t>Ordinateurs Middle-Tech</t>
  </si>
  <si>
    <t>Ordinateurs High-Tech</t>
  </si>
  <si>
    <t>Ordinateurs Ultra-Tech</t>
  </si>
  <si>
    <t>Ordinateurs Singularity-Tech</t>
  </si>
  <si>
    <t>Nourriture standard</t>
  </si>
  <si>
    <t>Navette spatiale</t>
  </si>
  <si>
    <t>Terraformation</t>
  </si>
  <si>
    <t>Boisement massif</t>
  </si>
  <si>
    <t>Population animale</t>
  </si>
  <si>
    <t>Ingénérie environnementale</t>
  </si>
  <si>
    <t>Manipulation environnementale</t>
  </si>
  <si>
    <t>Miroir orbital</t>
  </si>
  <si>
    <t>Ombrelle orbitale</t>
  </si>
  <si>
    <t>Cité flottante</t>
  </si>
  <si>
    <t>terraformation</t>
  </si>
  <si>
    <t>Déplacement de trou noir</t>
  </si>
  <si>
    <t>Génération de trou noir</t>
  </si>
  <si>
    <t>High-Energy Laser</t>
  </si>
  <si>
    <t xml:space="preserve">Infrared Lasers </t>
  </si>
  <si>
    <t>Blue-Green lasers</t>
  </si>
  <si>
    <t>distance et pénétration atmosphérique</t>
  </si>
  <si>
    <t>Ultraviolet Lasers</t>
  </si>
  <si>
    <t>distance</t>
  </si>
  <si>
    <t>énergie réduite</t>
  </si>
  <si>
    <t>Point Defense Laser</t>
  </si>
  <si>
    <t>Area Defense Laser</t>
  </si>
  <si>
    <t>Strike Laser</t>
  </si>
  <si>
    <t>Gatling Laser</t>
  </si>
  <si>
    <t>Laser Cannon</t>
  </si>
  <si>
    <t>X-Ray Lasers</t>
  </si>
  <si>
    <t>Gamma-Ray Lasers</t>
  </si>
  <si>
    <t>anti-bio ?</t>
  </si>
  <si>
    <t>Electrolasers</t>
  </si>
  <si>
    <t xml:space="preserve">Microwave Area Denial </t>
  </si>
  <si>
    <t>Microwave Disruptor</t>
  </si>
  <si>
    <t>anti-bio</t>
  </si>
  <si>
    <t>anti-electronic</t>
  </si>
  <si>
    <t>Electrothermal-chemical gun</t>
  </si>
  <si>
    <t>Gauss</t>
  </si>
  <si>
    <t>Gyrojet ammo</t>
  </si>
  <si>
    <t>Infrared Homing Ammo</t>
  </si>
  <si>
    <t>Intelligent ammos</t>
  </si>
  <si>
    <t>HUD intégration</t>
  </si>
  <si>
    <t>Lunette multispectrale</t>
  </si>
  <si>
    <t>Calculateur de visée</t>
  </si>
  <si>
    <t>Analyseur de point faible</t>
  </si>
  <si>
    <t>Réseau tactique de commandement</t>
  </si>
  <si>
    <t>Implant neural avec bras articulé</t>
  </si>
  <si>
    <t>Arme sur harnais stabilisé</t>
  </si>
  <si>
    <t>Ordinateur de diagnostique</t>
  </si>
  <si>
    <t>Détecteur d'IFF</t>
  </si>
  <si>
    <t>Trépied controlable à distance</t>
  </si>
  <si>
    <t>Trépied Autotourelle</t>
  </si>
  <si>
    <t>Arme montée sur épaule</t>
  </si>
  <si>
    <t>Exosquelette</t>
  </si>
  <si>
    <t>Mule de ravitaillement</t>
  </si>
  <si>
    <t>Mule de combat</t>
  </si>
  <si>
    <t>Armor-Piercing Hard Core (APHC)</t>
  </si>
  <si>
    <t>Armor-Piercing Discarding-Sabot (APDS)</t>
  </si>
  <si>
    <t>Armor-Piercing Enhanced Penetrator
(APEP)</t>
  </si>
  <si>
    <t>Armor-Piercing Hardcore Explosive
(APHEX)</t>
  </si>
  <si>
    <t>High Explosive (HE)</t>
  </si>
  <si>
    <t>High Explosive Concussion
(HEC)</t>
  </si>
  <si>
    <t>Hollow-Point (HP)</t>
  </si>
  <si>
    <t>Smart Explosively Forged Projectile
(SEFOP)</t>
  </si>
  <si>
    <t>Thermobaric</t>
  </si>
  <si>
    <t>Munition à décharge électrique</t>
  </si>
  <si>
    <t>Mininuke</t>
  </si>
  <si>
    <t>Micro-Antimatter Warheads</t>
  </si>
  <si>
    <t>EMP</t>
  </si>
  <si>
    <t>Arme à vortex</t>
  </si>
  <si>
    <t>Fumigène anti-infra</t>
  </si>
  <si>
    <t>Fumigène réfléchissant</t>
  </si>
  <si>
    <t>Munition rongeuse de métal</t>
  </si>
  <si>
    <t>Vibrolame</t>
  </si>
  <si>
    <t>Bot de combat</t>
  </si>
  <si>
    <t>Armure en kevlar</t>
  </si>
  <si>
    <t>Armure en nanodiamant</t>
  </si>
  <si>
    <t>Armure en nanocarbone</t>
  </si>
  <si>
    <t>Armure ablative</t>
  </si>
  <si>
    <t>Armure réflective</t>
  </si>
  <si>
    <t>Diplomatic Corps</t>
  </si>
  <si>
    <t>Interstellar Trade Commission</t>
  </si>
  <si>
    <t>Free Trade League</t>
  </si>
  <si>
    <t>Mercenary Companies</t>
  </si>
  <si>
    <t>Moteur ionique (argon)</t>
  </si>
  <si>
    <t>Moteur ionique (xénon)</t>
  </si>
  <si>
    <t>Moteur ionique (cadmium)</t>
  </si>
  <si>
    <t>Moteur à fission</t>
  </si>
  <si>
    <t>Propulsion nucléaire pulsée</t>
  </si>
  <si>
    <t>Moteur à fusion</t>
  </si>
  <si>
    <t>Moteur thermique à antimatière</t>
  </si>
  <si>
    <t>Moteur à antimatière pure</t>
  </si>
  <si>
    <t>Voile solaire</t>
  </si>
  <si>
    <t>Voile à projecteur laser</t>
  </si>
  <si>
    <t>Voile magnétique</t>
  </si>
  <si>
    <t>Moteur à ergols liquides</t>
  </si>
  <si>
    <t>Fronde orbitale</t>
  </si>
  <si>
    <t>Cockpit</t>
  </si>
  <si>
    <t>Stabilisation de mini trou noir</t>
  </si>
  <si>
    <t>Génération de vortex</t>
  </si>
  <si>
    <t>Passerelle</t>
  </si>
  <si>
    <t>Ordinateur de bord</t>
  </si>
  <si>
    <t>Support de vie</t>
  </si>
  <si>
    <t>test ?</t>
  </si>
  <si>
    <t>tech_type2</t>
  </si>
  <si>
    <t>Or</t>
  </si>
  <si>
    <t>Argent</t>
  </si>
  <si>
    <t>Cuivre</t>
  </si>
  <si>
    <t>Zinc</t>
  </si>
  <si>
    <t>Plomb</t>
  </si>
  <si>
    <t>métaux stratégiques</t>
  </si>
  <si>
    <t>métaux rares</t>
  </si>
  <si>
    <t>Cobalt</t>
  </si>
  <si>
    <t>Smartphones, ordinateurs, aimants</t>
  </si>
  <si>
    <t>Germanium</t>
  </si>
  <si>
    <t>Photovoltaïque, fibre optique</t>
  </si>
  <si>
    <t>Béryllium</t>
  </si>
  <si>
    <t>Télécom et électronique</t>
  </si>
  <si>
    <t>Bismuth</t>
  </si>
  <si>
    <t>Borate</t>
  </si>
  <si>
    <t>Verre et céramique</t>
  </si>
  <si>
    <t>Baryte</t>
  </si>
  <si>
    <t>Industrie du verre, radioprotection</t>
  </si>
  <si>
    <t>Charbon à coke</t>
  </si>
  <si>
    <t>Sidérurgie</t>
  </si>
  <si>
    <t>Spath fluor</t>
  </si>
  <si>
    <t>Métallurgie, céramique, optique</t>
  </si>
  <si>
    <t>Gallium</t>
  </si>
  <si>
    <t>Silicium métal</t>
  </si>
  <si>
    <t>Panneaux photovoltaïques</t>
  </si>
  <si>
    <t>Platine</t>
  </si>
  <si>
    <t>Catalyseur, bijouterie</t>
  </si>
  <si>
    <t>Magnésium</t>
  </si>
  <si>
    <t>Alliage d’aluminium</t>
  </si>
  <si>
    <t>Indium</t>
  </si>
  <si>
    <t>Puces électroniques</t>
  </si>
  <si>
    <t>Graphite naturel</t>
  </si>
  <si>
    <t>Véhicule électrique, industrie nucléaire</t>
  </si>
  <si>
    <t>Niobium</t>
  </si>
  <si>
    <t>Véhicule électrique, satellite</t>
  </si>
  <si>
    <t>Tantale</t>
  </si>
  <si>
    <t>Condensateurs</t>
  </si>
  <si>
    <t>Tungstene</t>
  </si>
  <si>
    <t>Outillage de précision, blindage, électricité</t>
  </si>
  <si>
    <t>Antimoine</t>
  </si>
  <si>
    <t>Industrie mécanique, additif durcissant</t>
  </si>
  <si>
    <t>Palladium</t>
  </si>
  <si>
    <t>Bijouterie</t>
  </si>
  <si>
    <t>Rhodium</t>
  </si>
  <si>
    <t>Vanadium</t>
  </si>
  <si>
    <t>Aciers spéciaux, industrie spatiale</t>
  </si>
  <si>
    <t>terres rares</t>
  </si>
  <si>
    <t>Europium</t>
  </si>
  <si>
    <t>Réacteurs nucléaires, éclairage, géochimie</t>
  </si>
  <si>
    <t>Gadolinium</t>
  </si>
  <si>
    <t>Tubes cathodiques</t>
  </si>
  <si>
    <t>Terbium</t>
  </si>
  <si>
    <t>Aimants permanents</t>
  </si>
  <si>
    <t>Dysprosium</t>
  </si>
  <si>
    <t>Moteurs hybrides, aimants</t>
  </si>
  <si>
    <t>Holmium</t>
  </si>
  <si>
    <t>Lasers, supraconducteurs</t>
  </si>
  <si>
    <t>Erbium</t>
  </si>
  <si>
    <t>Médecine nucléaire, optique</t>
  </si>
  <si>
    <t>Thulium</t>
  </si>
  <si>
    <t>Radiographie, laser, supraconducteur</t>
  </si>
  <si>
    <t>Ytterbium</t>
  </si>
  <si>
    <t>Aciers inoxydables</t>
  </si>
  <si>
    <t>Lutécium</t>
  </si>
  <si>
    <t>Émetteur de rayonnement bêta</t>
  </si>
  <si>
    <t>Yttrium</t>
  </si>
  <si>
    <t>Réserve de valeur, industrie du luxe et des technologies de pointe.</t>
  </si>
  <si>
    <t>Réserve de valeur, industrie du luxe, médecine (argent colloïdal), filtration de l’eau.</t>
  </si>
  <si>
    <t>Moteur électrique, industrie électrique, électronique, Bâtiment et transport.</t>
  </si>
  <si>
    <t>Galvanisation des aciers, alliages de fonderie</t>
  </si>
  <si>
    <t>Batterie électrique, industrie nucléaire, métallurgie.</t>
  </si>
  <si>
    <t>Générateur thermoélectrique, supraconducteur</t>
  </si>
  <si>
    <t>Semi-conducteur, diodes photoluminescentes</t>
  </si>
  <si>
    <t>Piles à combustibles, aimants, alliages supraconducteur</t>
  </si>
  <si>
    <t>final ?</t>
  </si>
  <si>
    <t>Métaux communs</t>
  </si>
  <si>
    <t>Batterie au graphène</t>
  </si>
  <si>
    <t>Titane</t>
  </si>
  <si>
    <t>Fer</t>
  </si>
  <si>
    <t>Aluminium</t>
  </si>
  <si>
    <t>Conducteur électrique</t>
  </si>
  <si>
    <t>Conducteur électrique+ , aéronautique</t>
  </si>
  <si>
    <t>&gt; Acier</t>
  </si>
  <si>
    <t>Batterie, munitions</t>
  </si>
  <si>
    <t>Superalliage</t>
  </si>
  <si>
    <t>aéronautique</t>
  </si>
  <si>
    <t xml:space="preserve">Néodyme </t>
  </si>
  <si>
    <t>sector_type</t>
  </si>
  <si>
    <t>color_indicator</t>
  </si>
  <si>
    <t>standard</t>
  </si>
  <si>
    <t>wilderness</t>
  </si>
  <si>
    <t>empty</t>
  </si>
  <si>
    <t>grey</t>
  </si>
  <si>
    <t>blue</t>
  </si>
  <si>
    <t>green</t>
  </si>
  <si>
    <t>white</t>
  </si>
  <si>
    <t>black</t>
  </si>
  <si>
    <t>border</t>
  </si>
  <si>
    <t>seed</t>
  </si>
  <si>
    <t>nb_sectors_axe_x</t>
  </si>
  <si>
    <t>nb_sectors_axe_y</t>
  </si>
  <si>
    <t xml:space="preserve"> # Need to have 6 digits and not starting with a 0</t>
  </si>
  <si>
    <t>force_empty_border_sectors</t>
  </si>
  <si>
    <t>True</t>
  </si>
  <si>
    <t>forced_native_sectors</t>
  </si>
  <si>
    <t>Value</t>
  </si>
  <si>
    <t>Map Generator Properties</t>
  </si>
  <si>
    <t>probabilities</t>
  </si>
  <si>
    <t># Some sectors are force placed by the global settings (starting and border). Therefore, no need to add random chance to spawn them</t>
  </si>
  <si>
    <t># For admin visualisation only</t>
  </si>
  <si>
    <t># Number of natives sectors forcefully placed on the map</t>
  </si>
  <si>
    <t>prevent_natives_sectors_on_borders</t>
  </si>
  <si>
    <t>prevent_natives_sectors_direct_neighbors</t>
  </si>
  <si>
    <t>prevent_natives_sectors_diagonal_neighbors</t>
  </si>
  <si>
    <t># Border of the map will have a special type of sector of declining density of systems</t>
  </si>
  <si>
    <t>native</t>
  </si>
  <si>
    <t>corner</t>
  </si>
  <si>
    <t>void_centered</t>
  </si>
  <si>
    <t>cluster</t>
  </si>
  <si>
    <t>min_systems</t>
  </si>
  <si>
    <t>max_systems</t>
  </si>
  <si>
    <t>min_natives_start</t>
  </si>
  <si>
    <t>max_natives_start</t>
  </si>
  <si>
    <t>system_type</t>
  </si>
  <si>
    <t>O</t>
  </si>
  <si>
    <t>B</t>
  </si>
  <si>
    <t>A</t>
  </si>
  <si>
    <t>F</t>
  </si>
  <si>
    <t>G</t>
  </si>
  <si>
    <t>K</t>
  </si>
  <si>
    <t>M</t>
  </si>
  <si>
    <t>giant</t>
  </si>
  <si>
    <t>white_dwarf</t>
  </si>
  <si>
    <t>supergiant</t>
  </si>
  <si>
    <t>neutron</t>
  </si>
  <si>
    <t>pulsar</t>
  </si>
  <si>
    <t>magnetar</t>
  </si>
  <si>
    <t>supernova</t>
  </si>
  <si>
    <t>black_hole</t>
  </si>
  <si>
    <t>wolf_rayet</t>
  </si>
  <si>
    <t>nebula</t>
  </si>
  <si>
    <t>none</t>
  </si>
  <si>
    <t>realistic</t>
  </si>
  <si>
    <t>solar_type_probability_supergiant</t>
  </si>
  <si>
    <t>solar_type_probability_giant</t>
  </si>
  <si>
    <t>solar_type_probability_O</t>
  </si>
  <si>
    <t>solar_type_probability_B</t>
  </si>
  <si>
    <t>solar_type_probability_A</t>
  </si>
  <si>
    <t>solar_type_probability_F</t>
  </si>
  <si>
    <t>solar_type_probability_G</t>
  </si>
  <si>
    <t>solar_type_probability_K</t>
  </si>
  <si>
    <t>solar_type_probability_M</t>
  </si>
  <si>
    <t>solar_type_probability_wolf_rayet</t>
  </si>
  <si>
    <t>solar_type_probability_supernova</t>
  </si>
  <si>
    <t>solar_type_probability_nebula</t>
  </si>
  <si>
    <t>solar_type_probability_white_dwarf</t>
  </si>
  <si>
    <t>solar_type_probability_neutron</t>
  </si>
  <si>
    <t>solar_type_probability_pulsar</t>
  </si>
  <si>
    <t>solar_type_probability_magnetar</t>
  </si>
  <si>
    <t>solar_type_probability_black_hole</t>
  </si>
  <si>
    <t>solar_type_probability_none</t>
  </si>
  <si>
    <t># The type corresponding in MG_suns will be found dynamically in the code</t>
  </si>
  <si>
    <t>habitable_good</t>
  </si>
  <si>
    <t>habitable_medium</t>
  </si>
  <si>
    <t>habitable_poor</t>
  </si>
  <si>
    <t>prob_oort_cloud</t>
  </si>
  <si>
    <t>prob_asteroid_belt</t>
  </si>
  <si>
    <t># System composition</t>
  </si>
  <si>
    <t>habitable_gaia</t>
  </si>
  <si>
    <t>resources_rich</t>
  </si>
  <si>
    <t>scientific</t>
  </si>
  <si>
    <t>gas_rich</t>
  </si>
  <si>
    <t># hydrogen ?</t>
  </si>
  <si>
    <t>Rhénium</t>
  </si>
  <si>
    <t>aérospatiale, avion de chasse, avion de ligne</t>
  </si>
  <si>
    <t>2,5 millions de tonnes</t>
  </si>
  <si>
    <t>49 tonnes</t>
  </si>
  <si>
    <t>C'est le métal le plus difficile à obtenir au monde ; il permet aux turboréacteurs de résister aux plus hautes températures.</t>
  </si>
  <si>
    <t>Matière</t>
  </si>
  <si>
    <t>première</t>
  </si>
  <si>
    <t>Applications</t>
  </si>
  <si>
    <t>(résumé)</t>
  </si>
  <si>
    <t>Réserves</t>
  </si>
  <si>
    <t>prouvées</t>
  </si>
  <si>
    <t>Production</t>
  </si>
  <si>
    <t>annuelle</t>
  </si>
  <si>
    <t>Observations/</t>
  </si>
  <si>
    <t>remarques</t>
  </si>
  <si>
    <t>Hélium</t>
  </si>
  <si>
    <t>Recherche scientifique</t>
  </si>
  <si>
    <t>Nécessaire à la recherche scientifique et aux grands programmes spatiaux.</t>
  </si>
  <si>
    <t>4,2 milliards de m3</t>
  </si>
  <si>
    <t>180 millions de m3</t>
  </si>
  <si>
    <t>Uranium</t>
  </si>
  <si>
    <t>énergie, armement</t>
  </si>
  <si>
    <t>54 000 tonnes</t>
  </si>
  <si>
    <t>Utilisé dans l'industrie nucléaire.</t>
  </si>
  <si>
    <t>électronique, énergie</t>
  </si>
  <si>
    <t>640 tonnes</t>
  </si>
  <si>
    <t>11 tonnes</t>
  </si>
  <si>
    <t>Indispensable aux écrans tactiles et panneaux solaires photovoltaïques.</t>
  </si>
  <si>
    <t>https://fr.wikipedia.org/wiki/Mati%C3%A8res_premi%C3%A8res_critiques</t>
  </si>
  <si>
    <t>Biens de consommation modernes</t>
  </si>
  <si>
    <t>Biens de consommation avancés</t>
  </si>
  <si>
    <t>Moteur</t>
  </si>
  <si>
    <t>Terres rares</t>
  </si>
  <si>
    <t>Supraconducteurs</t>
  </si>
  <si>
    <t>Méthane</t>
  </si>
  <si>
    <t>(Métaux et gaz)</t>
  </si>
  <si>
    <t>Hydrocarbure</t>
  </si>
  <si>
    <t>Uranium enrichi</t>
  </si>
  <si>
    <t>Orichalque</t>
  </si>
  <si>
    <t>(fictif)</t>
  </si>
  <si>
    <t>Acier</t>
  </si>
  <si>
    <t>Graphite</t>
  </si>
  <si>
    <t>Super-Alliages</t>
  </si>
  <si>
    <t>Hyper-Alliages</t>
  </si>
  <si>
    <t>Refroidissement par superfluide</t>
  </si>
  <si>
    <t>Androïde de combat</t>
  </si>
  <si>
    <t>Réalité augmentée</t>
  </si>
  <si>
    <t>Mini-Robot</t>
  </si>
  <si>
    <t>Micro-Robot</t>
  </si>
  <si>
    <t>Nano-Robot</t>
  </si>
  <si>
    <t>Intrication quantique</t>
  </si>
  <si>
    <t>Communicateurs intriqués</t>
  </si>
  <si>
    <t>Alliages</t>
  </si>
  <si>
    <t>Plastique</t>
  </si>
  <si>
    <t>Tungsten</t>
  </si>
  <si>
    <t>Supraconducteur ambiant</t>
  </si>
  <si>
    <t>(Moteurs+)</t>
  </si>
  <si>
    <t>Hélium3</t>
  </si>
  <si>
    <t>violet</t>
  </si>
  <si>
    <t>yellow</t>
  </si>
  <si>
    <t>orange</t>
  </si>
  <si>
    <t>red</t>
  </si>
  <si>
    <t>solar_type</t>
  </si>
  <si>
    <t>system_type_probability_realistic</t>
  </si>
  <si>
    <t>system_type_probability_standard</t>
  </si>
  <si>
    <t>system_type_probability_wilderness</t>
  </si>
  <si>
    <t>system_type_probability_native</t>
  </si>
  <si>
    <t>system_type_probability_habitable_gaia</t>
  </si>
  <si>
    <t>system_type_probability_habitable_good</t>
  </si>
  <si>
    <t>system_type_probability_habitable_medium</t>
  </si>
  <si>
    <t>system_type_probability_habitable_poor</t>
  </si>
  <si>
    <t>system_type_probability_resources_rich</t>
  </si>
  <si>
    <t>system_type_probability_gas_rich</t>
  </si>
  <si>
    <t>system_type_probability_scientific</t>
  </si>
  <si>
    <t># SYSTEMS TYPES</t>
  </si>
  <si>
    <t># FORCED SYSTEM TYPES</t>
  </si>
  <si>
    <t># Average probability per sector</t>
  </si>
  <si>
    <t># AVERAGE NB FOR X SYSTEM</t>
  </si>
  <si>
    <t>prob_telluric_0</t>
  </si>
  <si>
    <t>prob_telluric_1</t>
  </si>
  <si>
    <t>prob_telluric_2</t>
  </si>
  <si>
    <t>prob_telluric_3</t>
  </si>
  <si>
    <t>prob_telluric_4</t>
  </si>
  <si>
    <t>prob_planetoid_0</t>
  </si>
  <si>
    <t>prob_planetoid_1</t>
  </si>
  <si>
    <t>prob_planetoid_2</t>
  </si>
  <si>
    <t>prob_jovian_0</t>
  </si>
  <si>
    <t>prob_jovian_1</t>
  </si>
  <si>
    <t>prob_jovian_2</t>
  </si>
  <si>
    <t>prob_jovian_3</t>
  </si>
  <si>
    <t>prob_jovian_4</t>
  </si>
  <si>
    <t>danger</t>
  </si>
  <si>
    <t>system_type_probability_danger</t>
  </si>
  <si>
    <t>Super-Reflecting/Refracting Metamaterials</t>
  </si>
  <si>
    <t>Substrate Independence</t>
  </si>
  <si>
    <t>Optical computing</t>
  </si>
  <si>
    <t>Morphogénèse microrobotique</t>
  </si>
  <si>
    <t>Morphogénèse nanorobotique</t>
  </si>
  <si>
    <t>mortar</t>
  </si>
  <si>
    <t>howitzer</t>
  </si>
  <si>
    <t>cannon</t>
  </si>
  <si>
    <t>Mortier</t>
  </si>
  <si>
    <t>Obusier</t>
  </si>
  <si>
    <t>Canon</t>
  </si>
  <si>
    <t>Anti-char portatif</t>
  </si>
  <si>
    <t>Armes primitives</t>
  </si>
  <si>
    <t>Armes improvisées</t>
  </si>
  <si>
    <t>Armes civiles</t>
  </si>
  <si>
    <t>small_arms</t>
  </si>
  <si>
    <t>small_arms_primitive</t>
  </si>
  <si>
    <t>small_arms_improvised</t>
  </si>
  <si>
    <t>small_arms_civilian</t>
  </si>
  <si>
    <t>armored_car</t>
  </si>
  <si>
    <t>INFANTRY</t>
  </si>
  <si>
    <t>LIGHT ART</t>
  </si>
  <si>
    <t>Personnel</t>
  </si>
  <si>
    <t>Armes</t>
  </si>
  <si>
    <t>Anti-char</t>
  </si>
  <si>
    <t>MEDIUM ART</t>
  </si>
  <si>
    <t>HEAVY ART</t>
  </si>
  <si>
    <t># PORTABLE AA</t>
  </si>
  <si>
    <t># TRANSPORT</t>
  </si>
  <si>
    <t>tech_level_start_appearing_prototype</t>
  </si>
  <si>
    <t>tech_level_stop_appearing_prototype</t>
  </si>
  <si>
    <t>PROTOTYPE</t>
  </si>
  <si>
    <t>APPEARENCE</t>
  </si>
  <si>
    <t>min_cost_prototype</t>
  </si>
  <si>
    <t>max_cost_prototype</t>
  </si>
  <si>
    <t>COST</t>
  </si>
  <si>
    <t>tech_level_start_appearing_mature</t>
  </si>
  <si>
    <t>tech_level_stop_appearing_mature</t>
  </si>
  <si>
    <t>min_cost_mature</t>
  </si>
  <si>
    <t>max_cost_mature</t>
  </si>
  <si>
    <t>MATURE</t>
  </si>
  <si>
    <t>tech_level_start_appearing_optimized</t>
  </si>
  <si>
    <t>tech_level_stop_appearing_optimized</t>
  </si>
  <si>
    <t>min_cost_optimized</t>
  </si>
  <si>
    <t>max_cost_optimized</t>
  </si>
  <si>
    <t>OPTIMIZED</t>
  </si>
  <si>
    <t>Fusil d'assaut basique</t>
  </si>
  <si>
    <t>Fusil d'assaut de qualité</t>
  </si>
  <si>
    <t>Fusil d'assaut d'élite</t>
  </si>
  <si>
    <t>small_arms_assault_rifle_basic</t>
  </si>
  <si>
    <t>small_arms_assault_rifle_quality</t>
  </si>
  <si>
    <t>small_arms_assault_rifle_elite</t>
  </si>
  <si>
    <t>Malgré l'inefficacité des armes laser et la difficulté de rendre transportable pour un fantassin les batteries électriques nécessaires à un combat prolongé, un simple raccordement au réseau électrique ou à un générateur dispense de toute nécessité de ravitaillement en munitions. Les fusils laser sont donc très appréciés sur les mondes où la distance ou les opérations ennemies rendent tout ravitaillement difficile voire impossible.</t>
  </si>
  <si>
    <t>Fusil laser</t>
  </si>
  <si>
    <t>small_arms_laser_rifle</t>
  </si>
  <si>
    <t>small_arms_laser_rifle_exotic</t>
  </si>
  <si>
    <t>Fusil laser exotique</t>
  </si>
  <si>
    <t>mounted_heavy_laser</t>
  </si>
  <si>
    <t>mounted_mini_gatling</t>
  </si>
  <si>
    <t># SMALL ARMS</t>
  </si>
  <si>
    <t>Needed by every units</t>
  </si>
  <si>
    <t>mounted_heavy_machinegun</t>
  </si>
  <si>
    <t>mounted_recoiless_rifle</t>
  </si>
  <si>
    <t>Alternative for exoskelet infantry or light vehicule</t>
  </si>
  <si>
    <t>portable_at</t>
  </si>
  <si>
    <t>transport_civilian</t>
  </si>
  <si>
    <t># MOUNTED HEAVY ARMS</t>
  </si>
  <si>
    <t>mounted_heavy_arms</t>
  </si>
  <si>
    <t># TANK</t>
  </si>
  <si>
    <t>tank_light</t>
  </si>
  <si>
    <t>tank_medium</t>
  </si>
  <si>
    <t>tank_heavy</t>
  </si>
  <si>
    <t>tank_superheavy</t>
  </si>
  <si>
    <t>tank_landship</t>
  </si>
  <si>
    <t>tank_improvised_tractor</t>
  </si>
  <si>
    <t>armoured personnel carrier</t>
  </si>
  <si>
    <t>transport_apc</t>
  </si>
  <si>
    <t># ARMORED CAR</t>
  </si>
  <si>
    <t>transport_military_truck</t>
  </si>
  <si>
    <t>transport_exoskeleton</t>
  </si>
  <si>
    <t>Smaller tanks that can only mount heavy arms</t>
  </si>
  <si>
    <t>armored_car_technical</t>
  </si>
  <si>
    <t>infantry fighting vehicle</t>
  </si>
  <si>
    <t>transport_ifv</t>
  </si>
  <si>
    <t>transport_speeder</t>
  </si>
  <si>
    <t>transport_armored_speeder</t>
  </si>
  <si>
    <t>Needed to move troops and supply</t>
  </si>
  <si>
    <t>speeder_bike</t>
  </si>
  <si>
    <t>tank_light_antigrav</t>
  </si>
  <si>
    <t>tank_antigrav</t>
  </si>
  <si>
    <t>tank_interdimensional</t>
  </si>
  <si>
    <t># AIRCRAFT</t>
  </si>
  <si>
    <t>aircraft_</t>
  </si>
  <si>
    <t>tank_light_airdropable</t>
  </si>
  <si>
    <t>armored_car_airdropable</t>
  </si>
  <si>
    <t>transport_helicopter</t>
  </si>
  <si>
    <t>aircraft_helicopter</t>
  </si>
  <si>
    <t>aircraft_fighter</t>
  </si>
  <si>
    <t>average realistic</t>
  </si>
  <si>
    <t>average standard</t>
  </si>
  <si>
    <t>average wilderness</t>
  </si>
  <si>
    <t>average native</t>
  </si>
  <si>
    <t>average habitable_gaia</t>
  </si>
  <si>
    <t>average habitable_good</t>
  </si>
  <si>
    <t>average habitable_medium</t>
  </si>
  <si>
    <t>average habitable_poor</t>
  </si>
  <si>
    <t>average danger</t>
  </si>
  <si>
    <t>average resources_rich</t>
  </si>
  <si>
    <t>average gas_rich</t>
  </si>
  <si>
    <t>average scientific</t>
  </si>
  <si>
    <t xml:space="preserve"># </t>
  </si>
  <si>
    <t>Equipement de terraformation</t>
  </si>
  <si>
    <t>Medicine</t>
  </si>
  <si>
    <t>Drogues douces</t>
  </si>
  <si>
    <t>Drogues dures</t>
  </si>
  <si>
    <t>Organes de contrebande</t>
  </si>
  <si>
    <t>category</t>
  </si>
  <si>
    <t>pop_consumption_0</t>
  </si>
  <si>
    <t>pop_consumption_1</t>
  </si>
  <si>
    <t>pop_consumption_2</t>
  </si>
  <si>
    <t>pop_consumption_3</t>
  </si>
  <si>
    <t>pop_consumption_4</t>
  </si>
  <si>
    <t>pop_consumption_5</t>
  </si>
  <si>
    <t>pop_consumption_6</t>
  </si>
  <si>
    <t>I</t>
  </si>
  <si>
    <t>Non civilisé</t>
  </si>
  <si>
    <t>II</t>
  </si>
  <si>
    <t>III</t>
  </si>
  <si>
    <t>IV</t>
  </si>
  <si>
    <t>V</t>
  </si>
  <si>
    <t>VI</t>
  </si>
  <si>
    <t>VII</t>
  </si>
  <si>
    <t>VIII</t>
  </si>
  <si>
    <t>IX</t>
  </si>
  <si>
    <t>X</t>
  </si>
  <si>
    <t>Pré-Industriel</t>
  </si>
  <si>
    <t>Informatique</t>
  </si>
  <si>
    <t>Low-Tech</t>
  </si>
  <si>
    <t>Mid-Tech</t>
  </si>
  <si>
    <t>High-Tech</t>
  </si>
  <si>
    <t>Singularité</t>
  </si>
  <si>
    <t>T1</t>
  </si>
  <si>
    <t>T2</t>
  </si>
  <si>
    <t>T3</t>
  </si>
  <si>
    <t>T4</t>
  </si>
  <si>
    <t>T5</t>
  </si>
  <si>
    <t>T6</t>
  </si>
  <si>
    <t>T7</t>
  </si>
  <si>
    <t>T8</t>
  </si>
  <si>
    <t>T9</t>
  </si>
  <si>
    <t>T10</t>
  </si>
  <si>
    <t>T.II</t>
  </si>
  <si>
    <t>T.I</t>
  </si>
  <si>
    <t>T.III</t>
  </si>
  <si>
    <t>T.IV</t>
  </si>
  <si>
    <t>T.V</t>
  </si>
  <si>
    <t>R.I</t>
  </si>
  <si>
    <t>R.II</t>
  </si>
  <si>
    <t>R.III</t>
  </si>
  <si>
    <t>R.IV</t>
  </si>
  <si>
    <t>R.V</t>
  </si>
  <si>
    <t>R.VI</t>
  </si>
  <si>
    <t>Primitif</t>
  </si>
  <si>
    <t>T.0</t>
  </si>
  <si>
    <t>Organisé</t>
  </si>
  <si>
    <t>Les facultés intellectuelles de cette race ne sont pas suffisamment développées pour espérer former une civilisation sans au moins plusieurs millions d'années d'évolution</t>
  </si>
  <si>
    <t>Capable de collaborer entre individus et de confectionner des outils les plus simples, ce peuple n'a néanmoins pas formé de civilisation au-delà de la simple tribu</t>
  </si>
  <si>
    <t>De nombreuses cité-états et des premiers empires organisent ce peuple en autant de civilisations souvent éphémères</t>
  </si>
  <si>
    <t>La balbutiements de la science et de la technique fournissent à ce peuple une compréhension grandissante du monde et des empires s'étendant à travers la planète</t>
  </si>
  <si>
    <t xml:space="preserve">La maîtrise de la mécanique et de </t>
  </si>
  <si>
    <t>&lt; 4500</t>
  </si>
  <si>
    <t>-4500 &gt; 1400</t>
  </si>
  <si>
    <t>1400 &gt; 1800</t>
  </si>
  <si>
    <t>1800 &gt; 1920</t>
  </si>
  <si>
    <t>1920 &gt; 2050</t>
  </si>
  <si>
    <t>2050 &gt; …</t>
  </si>
  <si>
    <t>IA Illégales</t>
  </si>
  <si>
    <t>Illicits</t>
  </si>
  <si>
    <t>100Mo Pop</t>
  </si>
  <si>
    <t>Esclaves</t>
  </si>
  <si>
    <t>available_from_start</t>
  </si>
  <si>
    <t>food_subtitute</t>
  </si>
  <si>
    <t>food_synthetic</t>
  </si>
  <si>
    <t>food_standard</t>
  </si>
  <si>
    <t>food_luxury</t>
  </si>
  <si>
    <t>water</t>
  </si>
  <si>
    <t>oxygen</t>
  </si>
  <si>
    <t>terraform_equipment</t>
  </si>
  <si>
    <t>illicit_drug_hard</t>
  </si>
  <si>
    <t>illicit_drug_soft</t>
  </si>
  <si>
    <t>illicit_organs</t>
  </si>
  <si>
    <t>illicit_slaves</t>
  </si>
  <si>
    <t>illicit_ai</t>
  </si>
  <si>
    <t>transport_car</t>
  </si>
  <si>
    <t>transport_collective</t>
  </si>
  <si>
    <t>transport_plane</t>
  </si>
  <si>
    <t>transport_spaceshuttle</t>
  </si>
  <si>
    <t>name_fr</t>
  </si>
  <si>
    <t>name_en</t>
  </si>
  <si>
    <t>tools_farming</t>
  </si>
  <si>
    <t>tools_farming_robot</t>
  </si>
  <si>
    <t>Machines industrielles</t>
  </si>
  <si>
    <t>Robot industriels</t>
  </si>
  <si>
    <t>tools_industrial</t>
  </si>
  <si>
    <t>tools_industrial_robot</t>
  </si>
  <si>
    <t>electronical_quantum_communicator</t>
  </si>
  <si>
    <t>electronical_quantic_processor</t>
  </si>
  <si>
    <t>electronical_components</t>
  </si>
  <si>
    <t>computer_low_tech</t>
  </si>
  <si>
    <t>computer_high_tech</t>
  </si>
  <si>
    <t>computer_ultra_tech</t>
  </si>
  <si>
    <t>computer_singularity_tech</t>
  </si>
  <si>
    <t>computer_medium_tech</t>
  </si>
  <si>
    <t>Ultra-Tech</t>
  </si>
  <si>
    <t># ELECTRONICS</t>
  </si>
  <si>
    <t>aluminium</t>
  </si>
  <si>
    <t>titanium</t>
  </si>
  <si>
    <t>tungsten</t>
  </si>
  <si>
    <t>Terres Rares</t>
  </si>
  <si>
    <t>common_metal</t>
  </si>
  <si>
    <t>rare_earth</t>
  </si>
  <si>
    <t>beryllium</t>
  </si>
  <si>
    <t>graphite</t>
  </si>
  <si>
    <t>Super-alliages</t>
  </si>
  <si>
    <t>Hyper-alliages</t>
  </si>
  <si>
    <t>Composants electroniques</t>
  </si>
  <si>
    <t>Processeurs quantiques</t>
  </si>
  <si>
    <t>Communicateur quantique</t>
  </si>
  <si>
    <t>Ordinateurs low-Tech</t>
  </si>
  <si>
    <t>Ordinateurs middle-Tech</t>
  </si>
  <si>
    <t>Ordinateurs high-Tech</t>
  </si>
  <si>
    <t>Ordinateurs ultra-Tech</t>
  </si>
  <si>
    <t>uranium</t>
  </si>
  <si>
    <t>enriched_uranium</t>
  </si>
  <si>
    <t>hydrocarbons</t>
  </si>
  <si>
    <t>Hydrocarbures</t>
  </si>
  <si>
    <t>plastic</t>
  </si>
  <si>
    <t>biomass</t>
  </si>
  <si>
    <t>Biomasse</t>
  </si>
  <si>
    <t>methane</t>
  </si>
  <si>
    <t>terraformation_gaz</t>
  </si>
  <si>
    <t>Gas de terraformation</t>
  </si>
  <si>
    <t>Energy</t>
  </si>
  <si>
    <t>construction_materials</t>
  </si>
  <si>
    <t>Matériaux de construction</t>
  </si>
  <si>
    <t># ROBOTS</t>
  </si>
  <si>
    <t>survival_equipment</t>
  </si>
  <si>
    <t>icon</t>
  </si>
  <si>
    <t>image</t>
  </si>
  <si>
    <t>Font Awesome icon or static image, declare only one</t>
  </si>
  <si>
    <t># GLOBAL CATEGORY</t>
  </si>
  <si>
    <t>resources_cat_populace</t>
  </si>
  <si>
    <t>Population</t>
  </si>
  <si>
    <t>resources_cat_infrastructure</t>
  </si>
  <si>
    <t>resources_cat_raw_materials</t>
  </si>
  <si>
    <t>resources_cat_industries</t>
  </si>
  <si>
    <t>resources_cat_energy</t>
  </si>
  <si>
    <t>resources_cat_illicits</t>
  </si>
  <si>
    <t>resources_cat_electronics</t>
  </si>
  <si>
    <t>resources_cat_others</t>
  </si>
  <si>
    <t>Infrastructure</t>
  </si>
  <si>
    <t>Energie</t>
  </si>
  <si>
    <t>Matières premières</t>
  </si>
  <si>
    <t>Raw materials</t>
  </si>
  <si>
    <t>Industrie</t>
  </si>
  <si>
    <t>Industrial</t>
  </si>
  <si>
    <t>Electronic</t>
  </si>
  <si>
    <t>Illégal</t>
  </si>
  <si>
    <t>Autres</t>
  </si>
  <si>
    <t>parent_category</t>
  </si>
  <si>
    <t>single_need</t>
  </si>
  <si>
    <t># Satisfying a single of this need will solve the whole category need</t>
  </si>
  <si>
    <t>sub_category</t>
  </si>
  <si>
    <t>survival</t>
  </si>
  <si>
    <t>consummer_goods</t>
  </si>
  <si>
    <t>clothes</t>
  </si>
  <si>
    <t>medicine</t>
  </si>
  <si>
    <t>illicits</t>
  </si>
  <si>
    <t>transports</t>
  </si>
  <si>
    <t>tools</t>
  </si>
  <si>
    <t>electronics</t>
  </si>
  <si>
    <t>computer</t>
  </si>
  <si>
    <t>alloys</t>
  </si>
  <si>
    <t>energy</t>
  </si>
  <si>
    <t>miniaturization</t>
  </si>
  <si>
    <t>&gt; SUB CATEGORY</t>
  </si>
  <si>
    <t># POPULACE CONSUMPTION</t>
  </si>
  <si>
    <t>fa-truck-plane</t>
  </si>
  <si>
    <t>fa-people-line</t>
  </si>
  <si>
    <t>fa-atom</t>
  </si>
  <si>
    <t>fa-industry</t>
  </si>
  <si>
    <t>fa-oil-well</t>
  </si>
  <si>
    <t># fa-cubes-stacked</t>
  </si>
  <si>
    <t># fa-ban-smoking</t>
  </si>
  <si>
    <t>fa-box</t>
  </si>
  <si>
    <t>Nourriture</t>
  </si>
  <si>
    <t>Survie</t>
  </si>
  <si>
    <t># ILLICITS</t>
  </si>
  <si>
    <t>Biens de consommation</t>
  </si>
  <si>
    <t>Consummer goods</t>
  </si>
  <si>
    <t>Vêtements</t>
  </si>
  <si>
    <t>Clothing</t>
  </si>
  <si>
    <t>Médecine</t>
  </si>
  <si>
    <t>expected_average</t>
  </si>
  <si>
    <t># Middle of the red-yellow-green gradiant 
(only for single need cat.)</t>
  </si>
  <si>
    <t>Illicites</t>
  </si>
  <si>
    <t># INFRASTRUCTURE</t>
  </si>
  <si>
    <t>graviton</t>
  </si>
  <si>
    <t>construction</t>
  </si>
  <si>
    <t>Construction</t>
  </si>
  <si>
    <t>Outils</t>
  </si>
  <si>
    <t>hydrogen</t>
  </si>
  <si>
    <t>Hydrogène</t>
  </si>
  <si>
    <t>antimater</t>
  </si>
  <si>
    <t>ores</t>
  </si>
  <si>
    <t># RAW MATERIALS</t>
  </si>
  <si>
    <t>Alloys</t>
  </si>
  <si>
    <t>Tools</t>
  </si>
  <si>
    <t>intermediates</t>
  </si>
  <si>
    <t>Intermédiaires</t>
  </si>
  <si>
    <t>Intermediates</t>
  </si>
  <si>
    <t># OTHERS</t>
  </si>
  <si>
    <t>Ordinateurs</t>
  </si>
  <si>
    <t>Electronics</t>
  </si>
  <si>
    <t>Computers</t>
  </si>
  <si>
    <t>others</t>
  </si>
  <si>
    <t>Miniaturization</t>
  </si>
  <si>
    <t>unlocked_by_technology</t>
  </si>
  <si>
    <t>fa-microchip</t>
  </si>
  <si>
    <t>fa-pills</t>
  </si>
  <si>
    <t>Graviton</t>
  </si>
  <si>
    <t>steel</t>
  </si>
  <si>
    <t>alloy</t>
  </si>
  <si>
    <t>super-alloy</t>
  </si>
  <si>
    <t>hyper-alloy</t>
  </si>
  <si>
    <t>start_quantity</t>
  </si>
  <si>
    <t>unit_notation</t>
  </si>
  <si>
    <t>needs for 1Mo pop per tech level</t>
  </si>
  <si>
    <t>space_needed</t>
  </si>
  <si>
    <t># T/pop</t>
  </si>
  <si>
    <t>Mt</t>
  </si>
  <si>
    <t>medicine_low_tech</t>
  </si>
  <si>
    <t># clothes_rudimentary</t>
  </si>
  <si>
    <t># clothes_luxury</t>
  </si>
  <si>
    <t># clothes_selfcleaning</t>
  </si>
  <si>
    <t># clothes_adaptatives</t>
  </si>
  <si>
    <t>Marchandises low-Tech</t>
  </si>
  <si>
    <t>Marchandises middle-Tech</t>
  </si>
  <si>
    <t>Marchandises high-Tech</t>
  </si>
  <si>
    <t>Marchandises ultra-Tech</t>
  </si>
  <si>
    <t>Marchandises singularistes</t>
  </si>
  <si>
    <t>merchandises_low_tech</t>
  </si>
  <si>
    <t>merchandises_medium_tech</t>
  </si>
  <si>
    <t>merchandises_high_tech</t>
  </si>
  <si>
    <t>merchandises_ultra_tech</t>
  </si>
  <si>
    <t>merchandises_singularity_tech</t>
  </si>
  <si>
    <t>merchandises_rudimentary</t>
  </si>
  <si>
    <t>Marchandises rudimentaires</t>
  </si>
  <si>
    <t>T0</t>
  </si>
  <si>
    <t>T11</t>
  </si>
  <si>
    <t>T12</t>
  </si>
  <si>
    <t>T13</t>
  </si>
  <si>
    <t>T14</t>
  </si>
  <si>
    <t>T15</t>
  </si>
  <si>
    <t>Nucléaire</t>
  </si>
  <si>
    <t>Motorisé</t>
  </si>
  <si>
    <t>1800 &gt; 1900</t>
  </si>
  <si>
    <t>-4500 &gt; -500</t>
  </si>
  <si>
    <t>-500 &gt; 1400</t>
  </si>
  <si>
    <t>Ancien</t>
  </si>
  <si>
    <t>1900 &gt; 1945</t>
  </si>
  <si>
    <t>1945 &gt; 1980</t>
  </si>
  <si>
    <t>1980 &gt; 2040</t>
  </si>
  <si>
    <t>Repère</t>
  </si>
  <si>
    <t>&gt; 2040</t>
  </si>
  <si>
    <t>post-colonial</t>
  </si>
  <si>
    <t>pop_consumption_7</t>
  </si>
  <si>
    <t>pop_consumption_8</t>
  </si>
  <si>
    <t>pop_consumption_9</t>
  </si>
  <si>
    <t>pop_consumption_10</t>
  </si>
  <si>
    <t>pop_consumption_11</t>
  </si>
  <si>
    <t>pop_consumption_12</t>
  </si>
  <si>
    <t>pop_consumption_13</t>
  </si>
  <si>
    <t>pop_consumption_14</t>
  </si>
  <si>
    <t>pop_consumption_15</t>
  </si>
  <si>
    <t>SPACE</t>
  </si>
  <si>
    <t>SINGULARITY</t>
  </si>
  <si>
    <t>POST-SINGULARIST</t>
  </si>
  <si>
    <t>Post-Singulariste</t>
  </si>
  <si>
    <t>UNCIVILIZED</t>
  </si>
  <si>
    <t>PRIMITIVE</t>
  </si>
  <si>
    <t>ORGANIZED</t>
  </si>
  <si>
    <t>ANCIENT</t>
  </si>
  <si>
    <t>PRE-INDUSTRIAL</t>
  </si>
  <si>
    <t>INDUSTRIAL</t>
  </si>
  <si>
    <t>MOTORISED</t>
  </si>
  <si>
    <t>NUCLEAR</t>
  </si>
  <si>
    <t>INFORMATIC</t>
  </si>
  <si>
    <t># T10</t>
  </si>
  <si>
    <t># T11</t>
  </si>
  <si>
    <t># T12</t>
  </si>
  <si>
    <t># T13</t>
  </si>
  <si>
    <t># T14</t>
  </si>
  <si>
    <t># T15</t>
  </si>
  <si>
    <t># T16</t>
  </si>
  <si>
    <t>medicine_rudimentary</t>
  </si>
  <si>
    <t>medicine_medium_tech</t>
  </si>
  <si>
    <t>medicine_high_tech</t>
  </si>
  <si>
    <t>medicine_ultra_tech</t>
  </si>
  <si>
    <t>medicine_singularity_tech</t>
  </si>
  <si>
    <t>Médecine low-Tech</t>
  </si>
  <si>
    <t>Médecine middle-Tech</t>
  </si>
  <si>
    <t>Médecine high-Tech</t>
  </si>
  <si>
    <t>Médecine ultra-Tech</t>
  </si>
  <si>
    <t>Médecine singularistes</t>
  </si>
  <si>
    <t>Médecine traditionnelle</t>
  </si>
  <si>
    <t>t</t>
  </si>
  <si>
    <t># kg/pop</t>
  </si>
  <si>
    <t>kt</t>
  </si>
  <si>
    <t>k</t>
  </si>
  <si>
    <t>kg</t>
  </si>
  <si>
    <t>Ordinateurs singularistes</t>
  </si>
  <si>
    <t>TECH</t>
  </si>
  <si>
    <t># BATIMENTS RETRO-TECH</t>
  </si>
  <si>
    <t>Zone de chasse</t>
  </si>
  <si>
    <t>Fermes anciennes</t>
  </si>
  <si>
    <t>Pâturages</t>
  </si>
  <si>
    <t>Citernes</t>
  </si>
  <si>
    <t>Puit</t>
  </si>
  <si>
    <t>Artisans de marchandises</t>
  </si>
  <si>
    <t>Manufacture d'équipement</t>
  </si>
  <si>
    <t>Manufacture de marchandises</t>
  </si>
  <si>
    <t>Herboriste</t>
  </si>
  <si>
    <t>Champs fertilisés</t>
  </si>
  <si>
    <t>Apothicaire</t>
  </si>
  <si>
    <t>Pharmacie</t>
  </si>
  <si>
    <t>Champs de psychotropes</t>
  </si>
  <si>
    <t>Site de prélèvement d'organes</t>
  </si>
  <si>
    <t>Expédition esclavagiste</t>
  </si>
  <si>
    <t>Carrière ancienne de pierre</t>
  </si>
  <si>
    <t>Briquetterie</t>
  </si>
  <si>
    <t>Cimenterie</t>
  </si>
  <si>
    <t>Champs mécanisés</t>
  </si>
  <si>
    <t>Atelier automobile</t>
  </si>
  <si>
    <t>Atelier de trains</t>
  </si>
  <si>
    <t>Chantier naval à voile</t>
  </si>
  <si>
    <t>Chantier naval à vapeur</t>
  </si>
  <si>
    <t>Atelier de dirigeables</t>
  </si>
  <si>
    <t>Atelier d'aéronef</t>
  </si>
  <si>
    <t>Atelier aéronautique</t>
  </si>
  <si>
    <t>Programme spatial pionnier</t>
  </si>
  <si>
    <t>Atelier de fusée</t>
  </si>
  <si>
    <t>Atelier de tracteurs</t>
  </si>
  <si>
    <t>Artisans outilleurs</t>
  </si>
  <si>
    <t>Atelier de machine-outils</t>
  </si>
  <si>
    <t>Atelier mécanique</t>
  </si>
  <si>
    <t>Puits de pétrole</t>
  </si>
  <si>
    <t>Houillère</t>
  </si>
  <si>
    <t>Centrale à charbon</t>
  </si>
  <si>
    <t>Centrale à fuel</t>
  </si>
  <si>
    <t>Mine d'uranium</t>
  </si>
  <si>
    <t>Centrifugeuses</t>
  </si>
  <si>
    <t>Calutrons</t>
  </si>
  <si>
    <t>(énergie)</t>
  </si>
  <si>
    <t>Programme nucléaire</t>
  </si>
  <si>
    <t>(armes)</t>
  </si>
  <si>
    <t>Mine mécanisée de fer</t>
  </si>
  <si>
    <t>Mine ancienne de fer</t>
  </si>
  <si>
    <t>Mine ancienne de cuivre</t>
  </si>
  <si>
    <t>Usine ancienne d'automobile</t>
  </si>
  <si>
    <t>Usine pharmaceutique</t>
  </si>
  <si>
    <t>Mine mécanisée d'alumine</t>
  </si>
  <si>
    <t>Atelier de calculateurs mécaniques</t>
  </si>
  <si>
    <t>Fonderie électronique ancienne</t>
  </si>
  <si>
    <t>Atelier de supercalculateurs</t>
  </si>
  <si>
    <t>Usine ancienne d'informatique</t>
  </si>
  <si>
    <t>images/resources/pre_alpha/food_standard.png</t>
  </si>
  <si>
    <t>images/resources/pre_alpha/water.png</t>
  </si>
  <si>
    <t>images/resources/pre_alpha/drug_hard.png</t>
  </si>
  <si>
    <t>images/resources/pre_alpha/graviton.png</t>
  </si>
  <si>
    <t>images/resources/pre_alpha/transport_spaceshuttle.png</t>
  </si>
  <si>
    <t>images/resources/pre_alpha/electronical_quantum_communicator.png</t>
  </si>
  <si>
    <t>images/resources/pre_alpha/biomass.png</t>
  </si>
  <si>
    <t>images/resources/pre_alpha/food_substitute.png</t>
  </si>
  <si>
    <t>images/resources/pre_alpha/food_synthetic.png</t>
  </si>
  <si>
    <t>images/resources/pre_alpha/antimater.png</t>
  </si>
  <si>
    <t>images/resources/pre_alpha/common_metal.png</t>
  </si>
  <si>
    <t>images/resources/pre_alpha/steel.png</t>
  </si>
  <si>
    <t>images/resources/pre_alpha/illicit_ai.png</t>
  </si>
  <si>
    <t>images/resources/pre_alpha/terraformation_gaz.png</t>
  </si>
  <si>
    <t>images/resources/pre_alpha/terraform_equipment.png</t>
  </si>
  <si>
    <t>images/resources/pre_alpha/electronical_components.png</t>
  </si>
  <si>
    <t>images/resources/pre_alpha/computer_low_tech.png</t>
  </si>
  <si>
    <t>images/resources/pre_alpha/computer_medium_tech.png</t>
  </si>
  <si>
    <t>images/resources/pre_alpha/transport_car.png</t>
  </si>
  <si>
    <t>images/resources/pre_alpha/food_luxury.png</t>
  </si>
  <si>
    <t>images/resources/pre_alpha/r.png</t>
  </si>
  <si>
    <t>images/resources/pre_alpha/computer_high_tech.png</t>
  </si>
  <si>
    <t>images/resources/pre_alpha/survival_equipment.png</t>
  </si>
  <si>
    <t>images/resources/pre_alpha/illicit_organs.png</t>
  </si>
  <si>
    <t>images/resources/pre_alpha/medicine_rudimentary.png</t>
  </si>
  <si>
    <t>images/resources/pre_alpha/merchandises_rudimentary.png</t>
  </si>
  <si>
    <t>allowed_districts</t>
  </si>
  <si>
    <t>fa-landmark</t>
  </si>
  <si>
    <t>revendication_system</t>
  </si>
  <si>
    <t>revendication_strong</t>
  </si>
  <si>
    <t>revendication_weak</t>
  </si>
  <si>
    <t>revendication_claim</t>
  </si>
  <si>
    <t>Capital</t>
  </si>
  <si>
    <t>Megalopolis</t>
  </si>
  <si>
    <t>Metropolis</t>
  </si>
  <si>
    <t>Territory</t>
  </si>
  <si>
    <t>City</t>
  </si>
  <si>
    <t>Outpost</t>
  </si>
  <si>
    <t>System-wide revendication</t>
  </si>
  <si>
    <t>Strong revendication</t>
  </si>
  <si>
    <t>Weak revendication</t>
  </si>
  <si>
    <t>Claim</t>
  </si>
  <si>
    <t>Capitale</t>
  </si>
  <si>
    <t>Mégalopole</t>
  </si>
  <si>
    <t>Métropole</t>
  </si>
  <si>
    <t>Territoire</t>
  </si>
  <si>
    <t>Cité</t>
  </si>
  <si>
    <t>Avant-poste</t>
  </si>
  <si>
    <t>Revendication du système</t>
  </si>
  <si>
    <t>Revendication forte</t>
  </si>
  <si>
    <t>Revendication faible</t>
  </si>
  <si>
    <t>Réclamation</t>
  </si>
  <si>
    <t>fa-building</t>
  </si>
  <si>
    <t>fa-school-flag</t>
  </si>
  <si>
    <t>fa-tree-city</t>
  </si>
  <si>
    <t>fa-house-flag</t>
  </si>
  <si>
    <t>fa-tower-observation</t>
  </si>
  <si>
    <t>fa-flag</t>
  </si>
  <si>
    <t>unlocked_by_tech</t>
  </si>
  <si>
    <t>land_capital</t>
  </si>
  <si>
    <t>land_megalopolis</t>
  </si>
  <si>
    <t>land_metropolis</t>
  </si>
  <si>
    <t>land_territory</t>
  </si>
  <si>
    <t>land_city</t>
  </si>
  <si>
    <t>land_outpost</t>
  </si>
  <si>
    <t>land</t>
  </si>
  <si>
    <t>revendication</t>
  </si>
  <si>
    <t>Terrain de chasse</t>
  </si>
  <si>
    <t>tech_available</t>
  </si>
  <si>
    <t>tech_hidden</t>
  </si>
  <si>
    <t>Fermes écologiques</t>
  </si>
  <si>
    <t>Condensateur d'eau</t>
  </si>
  <si>
    <t>Station de pompage</t>
  </si>
  <si>
    <t>farm_hunting_range</t>
  </si>
  <si>
    <t>Usine alimentaire</t>
  </si>
  <si>
    <t>Bassins d'algoculture</t>
  </si>
  <si>
    <t>Coupeur de glace</t>
  </si>
  <si>
    <t>Récolteur d'astéroïdes de glace</t>
  </si>
  <si>
    <t>farming_district</t>
  </si>
  <si>
    <t>industrial_district</t>
  </si>
  <si>
    <t>commercial_district</t>
  </si>
  <si>
    <t>energy_district</t>
  </si>
  <si>
    <t>science_district</t>
  </si>
  <si>
    <t>robotic_district</t>
  </si>
  <si>
    <t>space_district</t>
  </si>
  <si>
    <t>military_district</t>
  </si>
  <si>
    <t>Coupeur de glace mécanisé</t>
  </si>
  <si>
    <t>production</t>
  </si>
  <si>
    <t>production_quantity</t>
  </si>
  <si>
    <t>vital_needs</t>
  </si>
  <si>
    <t>Filtres atmosphériques</t>
  </si>
  <si>
    <t>land_based</t>
  </si>
  <si>
    <t>space_based</t>
  </si>
  <si>
    <t>farmable</t>
  </si>
  <si>
    <t>modifier_needed</t>
  </si>
  <si>
    <t>modifier_excluded</t>
  </si>
  <si>
    <t>Industrie alimentaire</t>
  </si>
  <si>
    <t>water_presence</t>
  </si>
  <si>
    <t>oxygen_presence</t>
  </si>
  <si>
    <t>Electrolyseur</t>
  </si>
  <si>
    <t>Biodôme alimentaire</t>
  </si>
  <si>
    <t>Bassins de phytoplanctons</t>
  </si>
  <si>
    <t>Usine d'équipement de survie</t>
  </si>
  <si>
    <t>Industrie d'équipement de survie</t>
  </si>
  <si>
    <t>Usine de marchandises</t>
  </si>
  <si>
    <t>cold ; water_presence</t>
  </si>
  <si>
    <t>hot ; water_presence</t>
  </si>
  <si>
    <t># DISTRICTS</t>
  </si>
  <si>
    <t>district_primitive</t>
  </si>
  <si>
    <t>district_organized</t>
  </si>
  <si>
    <t>district_ancient</t>
  </si>
  <si>
    <t>district_preindustrial</t>
  </si>
  <si>
    <t>district_industrial</t>
  </si>
  <si>
    <t>district_motorized</t>
  </si>
  <si>
    <t>district_prespatial</t>
  </si>
  <si>
    <t>Village préhistorique</t>
  </si>
  <si>
    <t>Ville antique</t>
  </si>
  <si>
    <t>District agricole</t>
  </si>
  <si>
    <t>District industriel</t>
  </si>
  <si>
    <t>District commercial</t>
  </si>
  <si>
    <t>District énergétique</t>
  </si>
  <si>
    <t>District scientifique</t>
  </si>
  <si>
    <t>District robotique</t>
  </si>
  <si>
    <t>District spatial</t>
  </si>
  <si>
    <t>District militaire</t>
  </si>
  <si>
    <t>district_farming</t>
  </si>
  <si>
    <t>district_commercial</t>
  </si>
  <si>
    <t>district_energy</t>
  </si>
  <si>
    <t>district_science</t>
  </si>
  <si>
    <t>district_robotic</t>
  </si>
  <si>
    <t>district_space</t>
  </si>
  <si>
    <t>district_military</t>
  </si>
  <si>
    <t>district_singularist</t>
  </si>
  <si>
    <t>singularist_district</t>
  </si>
  <si>
    <t>District singulariste</t>
  </si>
  <si>
    <t>buildings_slots</t>
  </si>
  <si>
    <t>districts_slots</t>
  </si>
  <si>
    <t>size</t>
  </si>
  <si>
    <t>illustration</t>
  </si>
  <si>
    <t># CENTRAL DISTRICTS</t>
  </si>
  <si>
    <t># SPEIALIZED DISTRICTS</t>
  </si>
  <si>
    <t>district_outpost</t>
  </si>
  <si>
    <t>district_city</t>
  </si>
  <si>
    <t>district_territory</t>
  </si>
  <si>
    <t>district_metropole</t>
  </si>
  <si>
    <t>district_megalopolis</t>
  </si>
  <si>
    <t>district_capital</t>
  </si>
  <si>
    <t>central_district</t>
  </si>
  <si>
    <t>district_revendication</t>
  </si>
  <si>
    <t>Revendication</t>
  </si>
  <si>
    <t>Campement primitif</t>
  </si>
  <si>
    <t>Nation motorisée</t>
  </si>
  <si>
    <t>Nation industrialisé</t>
  </si>
  <si>
    <t>Nation pré-spatiale</t>
  </si>
  <si>
    <t>Nation pré-industrielle</t>
  </si>
  <si>
    <t>images/colony/district/central.png</t>
  </si>
  <si>
    <t>images/colony/district/farming.png</t>
  </si>
  <si>
    <t>images/colony/district/industrial.png</t>
  </si>
  <si>
    <t>images/colony/district/commercial.png</t>
  </si>
  <si>
    <t>images/colony/district/science.png</t>
  </si>
  <si>
    <t># RETROTECH CENTRAL DISTRICTS</t>
  </si>
  <si>
    <t>farm_ancient</t>
  </si>
  <si>
    <t>farm_ecologic</t>
  </si>
  <si>
    <t>farm_ecologic_agriculture</t>
  </si>
  <si>
    <t>farm_biodome</t>
  </si>
  <si>
    <t>farm_pasture</t>
  </si>
  <si>
    <t>farm_fertilized_fields</t>
  </si>
  <si>
    <t>farm_mechanised_fields</t>
  </si>
  <si>
    <t>Agriculture moderne</t>
  </si>
  <si>
    <t>farm_modern_agriculture</t>
  </si>
  <si>
    <t>farm_hydroponic</t>
  </si>
  <si>
    <t>farm_intensive_agriculture</t>
  </si>
  <si>
    <t>farm_food_industry</t>
  </si>
  <si>
    <t>farm_food_factory</t>
  </si>
  <si>
    <t>farm_alguae</t>
  </si>
  <si>
    <t>water_condenser</t>
  </si>
  <si>
    <t>ice_asteroid_harvester</t>
  </si>
  <si>
    <t>atmospheric_filters</t>
  </si>
  <si>
    <t>electrolyzer</t>
  </si>
  <si>
    <t>phytoplankton_basins</t>
  </si>
  <si>
    <t>goods_artisans</t>
  </si>
  <si>
    <t>goods_manufacture</t>
  </si>
  <si>
    <t>goods_factory</t>
  </si>
  <si>
    <t>herbalist</t>
  </si>
  <si>
    <t>apothecary</t>
  </si>
  <si>
    <t>pharmacy</t>
  </si>
  <si>
    <t>pharmaceutical_factory</t>
  </si>
  <si>
    <t>psychotropic_fields</t>
  </si>
  <si>
    <t>organ_harvesting_site</t>
  </si>
  <si>
    <t>slaver_expedition</t>
  </si>
  <si>
    <t>ancient_stone_quarry</t>
  </si>
  <si>
    <t>brickworks</t>
  </si>
  <si>
    <t>cement_factory</t>
  </si>
  <si>
    <t>automobile_workshop</t>
  </si>
  <si>
    <t>ancient_automobile_factory</t>
  </si>
  <si>
    <t>sailing_shipyard</t>
  </si>
  <si>
    <t>steam_shipyard</t>
  </si>
  <si>
    <t>train_workshop</t>
  </si>
  <si>
    <t>airship_workshop</t>
  </si>
  <si>
    <t>aircraft_workshop</t>
  </si>
  <si>
    <t>aeronautical_workshop</t>
  </si>
  <si>
    <t>pioneer_space_program</t>
  </si>
  <si>
    <t>rocket_workshop</t>
  </si>
  <si>
    <t>tractor_workshop</t>
  </si>
  <si>
    <t>mechanical_workshop</t>
  </si>
  <si>
    <t>machine_tool_workshop</t>
  </si>
  <si>
    <t>coal_mine</t>
  </si>
  <si>
    <t>coal_power_plant</t>
  </si>
  <si>
    <t>oil_well</t>
  </si>
  <si>
    <t>fuel_power_plant</t>
  </si>
  <si>
    <t>uranium_mine</t>
  </si>
  <si>
    <t>calutrons</t>
  </si>
  <si>
    <t>nuclear_program</t>
  </si>
  <si>
    <t>centrifuges</t>
  </si>
  <si>
    <t>nuclear_power_plant</t>
  </si>
  <si>
    <t>ancient_copper_mine</t>
  </si>
  <si>
    <t>ancient_iron_mine</t>
  </si>
  <si>
    <t>mechanized_iron_mine</t>
  </si>
  <si>
    <t>mechanized_alumina_mine</t>
  </si>
  <si>
    <t>mechanical_computer_workshop</t>
  </si>
  <si>
    <t>ancient_electronic_foundry</t>
  </si>
  <si>
    <t>supercomputer_workshop</t>
  </si>
  <si>
    <t>ancient_computer_factory</t>
  </si>
  <si>
    <t># QUARTER</t>
  </si>
  <si>
    <t>camp</t>
  </si>
  <si>
    <t>rich_residences</t>
  </si>
  <si>
    <t>modern_city</t>
  </si>
  <si>
    <t>dormitory_city</t>
  </si>
  <si>
    <t>vertical_slum</t>
  </si>
  <si>
    <t>high_tech_city</t>
  </si>
  <si>
    <t>modern_metropolis</t>
  </si>
  <si>
    <t>poor_metropolis</t>
  </si>
  <si>
    <t>megacity</t>
  </si>
  <si>
    <t>traditional_farms</t>
  </si>
  <si>
    <t>organic_agriculture</t>
  </si>
  <si>
    <t>intensive_agriculture</t>
  </si>
  <si>
    <t>hydroponic_farms</t>
  </si>
  <si>
    <t>synthetic_food_industry</t>
  </si>
  <si>
    <t>consumer_goods_factories</t>
  </si>
  <si>
    <t>weapon_factories</t>
  </si>
  <si>
    <t>high_tech_industry</t>
  </si>
  <si>
    <t>industrial_rnd_center</t>
  </si>
  <si>
    <t>leisure_center</t>
  </si>
  <si>
    <t>mass_tourist_center</t>
  </si>
  <si>
    <t>historical_cultural_center</t>
  </si>
  <si>
    <t>business_center</t>
  </si>
  <si>
    <t>commercial_platforms</t>
  </si>
  <si>
    <t>biogas_biomass_crops</t>
  </si>
  <si>
    <t>polluting_power_plants</t>
  </si>
  <si>
    <t>modern_power_plants</t>
  </si>
  <si>
    <t>clean_power_plants</t>
  </si>
  <si>
    <t>nuclear_power_plants</t>
  </si>
  <si>
    <t>fusion_reactor</t>
  </si>
  <si>
    <t>local_electric_production</t>
  </si>
  <si>
    <t>energy_research_center</t>
  </si>
  <si>
    <t>laboratory</t>
  </si>
  <si>
    <t>research_center</t>
  </si>
  <si>
    <t>supercomputer</t>
  </si>
  <si>
    <t>observatory</t>
  </si>
  <si>
    <t>particle_accelerator</t>
  </si>
  <si>
    <t>maintenance_centers</t>
  </si>
  <si>
    <t>automation_factories</t>
  </si>
  <si>
    <t>supervision_system</t>
  </si>
  <si>
    <t>robotic_logistics_center</t>
  </si>
  <si>
    <t>cybernetic_core</t>
  </si>
  <si>
    <t>rudimentary_spaceport</t>
  </si>
  <si>
    <t>advanced_spaceport</t>
  </si>
  <si>
    <t>orbital_cannon</t>
  </si>
  <si>
    <t>orbital_hook</t>
  </si>
  <si>
    <t>space_elevator</t>
  </si>
  <si>
    <t>spaceyard</t>
  </si>
  <si>
    <t>barracks</t>
  </si>
  <si>
    <t>armored_base</t>
  </si>
  <si>
    <t>military_airport</t>
  </si>
  <si>
    <t>aerospace_base</t>
  </si>
  <si>
    <t>training_center</t>
  </si>
  <si>
    <t>anti_air_defenses</t>
  </si>
  <si>
    <t>anti_missile_defenses</t>
  </si>
  <si>
    <t>shield</t>
  </si>
  <si>
    <t>missile_battery</t>
  </si>
  <si>
    <t>heavy_cannon_battery</t>
  </si>
  <si>
    <t>laser_cannon_battery</t>
  </si>
  <si>
    <t>heavy_artillery</t>
  </si>
  <si>
    <t>civilian_shelters</t>
  </si>
  <si>
    <t>entrenchments</t>
  </si>
  <si>
    <t>fortress</t>
  </si>
  <si>
    <t>fortified_sector</t>
  </si>
  <si>
    <t>garrison_city</t>
  </si>
  <si>
    <t>underground_city</t>
  </si>
  <si>
    <t>water_well</t>
  </si>
  <si>
    <t>water_cisterns</t>
  </si>
  <si>
    <t>water_ice_cutter</t>
  </si>
  <si>
    <t>water_mechanized_ice_cutter</t>
  </si>
  <si>
    <t>water_pumping_station</t>
  </si>
  <si>
    <t>water_asteroid_harvester</t>
  </si>
  <si>
    <t>images/colony/building/placeholder_building_1.png</t>
  </si>
  <si>
    <t>images/colony/building/placeholder_building_3.png</t>
  </si>
  <si>
    <t>images/colony/building/placeholder_building_4.png</t>
  </si>
  <si>
    <t>survival_factory</t>
  </si>
  <si>
    <t>survival_industry</t>
  </si>
  <si>
    <t>survival_toolmakers</t>
  </si>
  <si>
    <t>survival_manufacture</t>
  </si>
  <si>
    <t>pollution</t>
  </si>
  <si>
    <t>&gt; BUILDINGS</t>
  </si>
  <si>
    <t>storage</t>
  </si>
  <si>
    <t>hp</t>
  </si>
  <si>
    <t>build_time</t>
  </si>
  <si>
    <t>build_cost</t>
  </si>
  <si>
    <t>maintenance</t>
  </si>
  <si>
    <t>build_population</t>
  </si>
  <si>
    <t>fa-flask</t>
  </si>
  <si>
    <t>fa-coins</t>
  </si>
  <si>
    <t>fa-wheat-awn</t>
  </si>
  <si>
    <t>fa-person-rifle</t>
  </si>
  <si>
    <t>fa-bolt</t>
  </si>
  <si>
    <t>fa-satellite</t>
  </si>
  <si>
    <t>fa-infinity</t>
  </si>
  <si>
    <t>fa-campground</t>
  </si>
  <si>
    <t>{'construction_materials':100}</t>
  </si>
  <si>
    <t>{'construction_materials':10}</t>
  </si>
  <si>
    <t>images/colony/district/robotic.png</t>
  </si>
  <si>
    <t>images/colony/district/space.png</t>
  </si>
  <si>
    <t>images/colony/district/military.png</t>
  </si>
  <si>
    <t>images/colony/district/singularist.png</t>
  </si>
  <si>
    <t>images/colony/district/energy.png</t>
  </si>
  <si>
    <t>False</t>
  </si>
  <si>
    <t>images/colony/building/placeholder_building_2.png</t>
  </si>
  <si>
    <t>{'construction_materials':100, 'transport_spaceshuttle': 5}</t>
  </si>
  <si>
    <t>{'construction_materials':10, 'transport_spaceshuttle': 1}</t>
  </si>
  <si>
    <t>{'construction_materials':100, 'transport_spaceshuttle': 5, 'tools_industrial_robot':50}</t>
  </si>
  <si>
    <t>{'construction_materials':10, 'tools_industrial_robot': 1}</t>
  </si>
  <si>
    <t>{'construction_materials':100, 'computer_high_tech': 40}</t>
  </si>
  <si>
    <t>{'construction_materials':10, 'computer_high_tech': 5}</t>
  </si>
  <si>
    <t>DILEMMES D'EPOQUES</t>
  </si>
  <si>
    <t>&gt; Transhumanisme robotique</t>
  </si>
  <si>
    <t xml:space="preserve">&gt; Anthropréservationnisme </t>
  </si>
  <si>
    <t>&gt; Transhumanisme biologique</t>
  </si>
  <si>
    <t>&gt; Autosuffisance économique</t>
  </si>
  <si>
    <t>&gt; Piraterie spatiale</t>
  </si>
  <si>
    <t>&gt; Libre échange sectoriel</t>
  </si>
  <si>
    <t>&gt; Centralisme gouvernemental</t>
  </si>
  <si>
    <t>&gt; Fédéralisme libre</t>
  </si>
  <si>
    <t>&gt; Anarchie sectorielle</t>
  </si>
  <si>
    <t>&gt; Impérialisme spatial</t>
  </si>
  <si>
    <t>&gt; Planètes-états</t>
  </si>
  <si>
    <t>&gt; Pan-sectorialisme ?</t>
  </si>
  <si>
    <t>&gt; Suprématie humaine</t>
  </si>
  <si>
    <t>&gt; Coexistence</t>
  </si>
  <si>
    <t>&gt; Nous sommes aliens</t>
  </si>
  <si>
    <t>COMPETITIONS DE VALEURS</t>
  </si>
  <si>
    <t>&gt; Exploitaton illimitée</t>
  </si>
  <si>
    <t>&gt; Terraformationnisme</t>
  </si>
  <si>
    <t>&gt; Preservationnisme planétaire</t>
  </si>
  <si>
    <t>&gt; Fanatisme religieux</t>
  </si>
  <si>
    <t>&gt; Tolérance religieuse</t>
  </si>
  <si>
    <t>&gt; Rationalisme</t>
  </si>
  <si>
    <t>&gt; Utilitarisme</t>
  </si>
  <si>
    <t>&gt; Individualisme</t>
  </si>
  <si>
    <t>&gt; Suprématie synthétique</t>
  </si>
  <si>
    <t>&gt; Primauté humaine</t>
  </si>
  <si>
    <t>&gt; Co-gouvernance synthétique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</si>
</sst>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1"/>
      <color theme="0" tint="-0.14999847407452621"/>
      <name val="Calibri"/>
      <family val="2"/>
      <scheme val="minor"/>
    </font>
    <font>
      <b/>
      <sz val="24"/>
      <color theme="1"/>
      <name val="Calibri"/>
      <family val="2"/>
      <scheme val="minor"/>
    </font>
    <font>
      <b/>
      <sz val="11"/>
      <color theme="0" tint="-0.14999847407452621"/>
      <name val="Calibri"/>
      <family val="2"/>
      <scheme val="minor"/>
    </font>
    <font>
      <b/>
      <sz val="22"/>
      <color theme="0" tint="-0.14999847407452621"/>
      <name val="Calibri"/>
      <family val="2"/>
      <scheme val="minor"/>
    </font>
    <font>
      <b/>
      <sz val="11"/>
      <color theme="4" tint="0.39997558519241921"/>
      <name val="Calibri"/>
      <family val="2"/>
      <scheme val="minor"/>
    </font>
    <font>
      <sz val="11"/>
      <color theme="0" tint="-4.9989318521683403E-2"/>
      <name val="Calibri"/>
      <family val="2"/>
      <scheme val="minor"/>
    </font>
    <font>
      <sz val="26"/>
      <color theme="0" tint="-4.9989318521683403E-2"/>
      <name val="Calibri"/>
      <family val="2"/>
      <scheme val="minor"/>
    </font>
    <font>
      <sz val="11"/>
      <color theme="0" tint="-0.249977111117893"/>
      <name val="Calibri"/>
      <family val="2"/>
      <scheme val="minor"/>
    </font>
    <font>
      <b/>
      <sz val="20"/>
      <color theme="0" tint="-0.249977111117893"/>
      <name val="Calibri"/>
      <family val="2"/>
      <scheme val="minor"/>
    </font>
    <font>
      <b/>
      <sz val="11"/>
      <color theme="0" tint="-0.249977111117893"/>
      <name val="Calibri"/>
      <family val="2"/>
      <scheme val="minor"/>
    </font>
    <font>
      <b/>
      <sz val="12"/>
      <color theme="0" tint="-0.14999847407452621"/>
      <name val="Calibri"/>
      <family val="2"/>
      <scheme val="minor"/>
    </font>
    <font>
      <sz val="12"/>
      <color theme="0" tint="-0.14999847407452621"/>
      <name val="Calibri"/>
      <family val="2"/>
      <scheme val="minor"/>
    </font>
    <font>
      <i/>
      <sz val="11"/>
      <color theme="8" tint="0.39997558519241921"/>
      <name val="Calibri"/>
      <family val="2"/>
      <scheme val="minor"/>
    </font>
    <font>
      <b/>
      <sz val="11"/>
      <color theme="5" tint="0.39997558519241921"/>
      <name val="Calibri"/>
      <family val="2"/>
      <scheme val="minor"/>
    </font>
    <font>
      <sz val="11"/>
      <color theme="5" tint="0.39997558519241921"/>
      <name val="Calibri"/>
      <family val="2"/>
      <scheme val="minor"/>
    </font>
    <font>
      <sz val="11"/>
      <color theme="0"/>
      <name val="Calibri"/>
      <family val="2"/>
      <scheme val="minor"/>
    </font>
    <font>
      <sz val="8"/>
      <name val="Calibri"/>
      <family val="2"/>
      <scheme val="minor"/>
    </font>
    <font>
      <sz val="18"/>
      <color theme="0" tint="-0.14999847407452621"/>
      <name val="Calibri"/>
      <family val="2"/>
      <scheme val="minor"/>
    </font>
    <font>
      <b/>
      <sz val="24"/>
      <color theme="0"/>
      <name val="Agency FB"/>
      <family val="2"/>
    </font>
    <font>
      <b/>
      <sz val="22"/>
      <name val="Calibri"/>
      <family val="2"/>
      <scheme val="minor"/>
    </font>
    <font>
      <b/>
      <sz val="26"/>
      <color theme="4" tint="0.39997558519241921"/>
      <name val="Calibri"/>
      <family val="2"/>
      <scheme val="minor"/>
    </font>
    <font>
      <b/>
      <sz val="14"/>
      <color theme="0" tint="-0.14999847407452621"/>
      <name val="Calibri"/>
      <family val="2"/>
      <scheme val="minor"/>
    </font>
    <font>
      <sz val="11"/>
      <color rgb="FFFF0000"/>
      <name val="Calibri"/>
      <family val="2"/>
      <scheme val="minor"/>
    </font>
    <font>
      <sz val="11"/>
      <name val="Calibri"/>
      <family val="2"/>
      <scheme val="minor"/>
    </font>
    <font>
      <sz val="11"/>
      <color theme="9"/>
      <name val="Calibri"/>
      <family val="2"/>
      <scheme val="minor"/>
    </font>
    <font>
      <sz val="11"/>
      <color theme="5" tint="-0.249977111117893"/>
      <name val="Calibri"/>
      <family val="2"/>
      <scheme val="minor"/>
    </font>
    <font>
      <sz val="11"/>
      <color theme="7"/>
      <name val="Calibri"/>
      <family val="2"/>
      <scheme val="minor"/>
    </font>
    <font>
      <sz val="11"/>
      <color rgb="FFFF85F6"/>
      <name val="Calibri"/>
      <family val="2"/>
      <scheme val="minor"/>
    </font>
    <font>
      <sz val="11"/>
      <color theme="8" tint="0.39997558519241921"/>
      <name val="Calibri"/>
      <family val="2"/>
      <scheme val="minor"/>
    </font>
    <font>
      <sz val="11"/>
      <color theme="3" tint="0.39997558519241921"/>
      <name val="Calibri"/>
      <family val="2"/>
      <scheme val="minor"/>
    </font>
    <font>
      <sz val="11"/>
      <color rgb="FFBE2095"/>
      <name val="Calibri"/>
      <family val="2"/>
      <scheme val="minor"/>
    </font>
    <font>
      <sz val="11"/>
      <color rgb="FF456A2C"/>
      <name val="Calibri"/>
      <family val="2"/>
      <scheme val="minor"/>
    </font>
    <font>
      <sz val="11"/>
      <color theme="2" tint="-0.499984740745262"/>
      <name val="Calibri"/>
      <family val="2"/>
      <scheme val="minor"/>
    </font>
    <font>
      <b/>
      <sz val="11"/>
      <color rgb="FF456A2C"/>
      <name val="Calibri"/>
      <family val="2"/>
      <scheme val="minor"/>
    </font>
    <font>
      <b/>
      <sz val="11"/>
      <color theme="2" tint="-0.499984740745262"/>
      <name val="Calibri"/>
      <family val="2"/>
      <scheme val="minor"/>
    </font>
    <font>
      <b/>
      <sz val="11"/>
      <color theme="9"/>
      <name val="Calibri"/>
      <family val="2"/>
      <scheme val="minor"/>
    </font>
    <font>
      <b/>
      <sz val="11"/>
      <color theme="5" tint="-0.249977111117893"/>
      <name val="Calibri"/>
      <family val="2"/>
      <scheme val="minor"/>
    </font>
    <font>
      <b/>
      <sz val="11"/>
      <color rgb="FFFF85F6"/>
      <name val="Calibri"/>
      <family val="2"/>
      <scheme val="minor"/>
    </font>
    <font>
      <b/>
      <sz val="11"/>
      <color theme="7"/>
      <name val="Calibri"/>
      <family val="2"/>
      <scheme val="minor"/>
    </font>
    <font>
      <b/>
      <sz val="11"/>
      <color theme="8" tint="0.39997558519241921"/>
      <name val="Calibri"/>
      <family val="2"/>
      <scheme val="minor"/>
    </font>
    <font>
      <b/>
      <sz val="11"/>
      <color rgb="FFBE2095"/>
      <name val="Calibri"/>
      <family val="2"/>
      <scheme val="minor"/>
    </font>
    <font>
      <b/>
      <sz val="11"/>
      <color theme="3" tint="0.39997558519241921"/>
      <name val="Calibri"/>
      <family val="2"/>
      <scheme val="minor"/>
    </font>
    <font>
      <b/>
      <sz val="11"/>
      <color rgb="FFFF0000"/>
      <name val="Calibri"/>
      <family val="2"/>
      <scheme val="minor"/>
    </font>
    <font>
      <i/>
      <sz val="11"/>
      <color theme="4" tint="0.39997558519241921"/>
      <name val="Calibri"/>
      <family val="2"/>
      <scheme val="minor"/>
    </font>
  </fonts>
  <fills count="9">
    <fill>
      <patternFill patternType="none"/>
    </fill>
    <fill>
      <patternFill patternType="gray125"/>
    </fill>
    <fill>
      <patternFill patternType="solid">
        <fgColor theme="1" tint="0.24997711111789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1" tint="0.14999847407452621"/>
        <bgColor indexed="64"/>
      </patternFill>
    </fill>
    <fill>
      <patternFill patternType="solid">
        <fgColor theme="1" tint="0.499984740745262"/>
        <bgColor indexed="64"/>
      </patternFill>
    </fill>
    <fill>
      <patternFill patternType="solid">
        <fgColor theme="1" tint="4.9989318521683403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177">
    <xf numFmtId="0" fontId="0" fillId="0" borderId="0" xfId="0"/>
    <xf numFmtId="0" fontId="1" fillId="2" borderId="1" xfId="0" applyFont="1" applyFill="1" applyBorder="1"/>
    <xf numFmtId="0" fontId="1" fillId="3" borderId="1" xfId="0" applyFont="1" applyFill="1" applyBorder="1"/>
    <xf numFmtId="0" fontId="1" fillId="4" borderId="1" xfId="0" applyFont="1" applyFill="1" applyBorder="1"/>
    <xf numFmtId="0" fontId="0" fillId="5" borderId="0" xfId="0" applyFill="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0" xfId="0" applyFill="1" applyAlignment="1">
      <alignment horizontal="left" vertical="center"/>
    </xf>
    <xf numFmtId="0" fontId="2" fillId="5" borderId="0" xfId="0" applyFont="1" applyFill="1" applyAlignment="1">
      <alignment horizontal="left" vertical="center"/>
    </xf>
    <xf numFmtId="0" fontId="2" fillId="5" borderId="0" xfId="0" applyFont="1" applyFill="1" applyAlignment="1">
      <alignment horizontal="center" vertical="center" wrapText="1"/>
    </xf>
    <xf numFmtId="0" fontId="3" fillId="2" borderId="1" xfId="0" applyFont="1" applyFill="1" applyBorder="1"/>
    <xf numFmtId="0" fontId="4" fillId="2" borderId="1" xfId="0" applyFont="1" applyFill="1" applyBorder="1"/>
    <xf numFmtId="0" fontId="5" fillId="2" borderId="1" xfId="0" applyFont="1" applyFill="1" applyBorder="1"/>
    <xf numFmtId="0" fontId="7" fillId="2" borderId="0" xfId="0" applyFont="1" applyFill="1"/>
    <xf numFmtId="0" fontId="7" fillId="2" borderId="7" xfId="0" applyFont="1" applyFill="1" applyBorder="1"/>
    <xf numFmtId="0" fontId="6" fillId="2" borderId="0" xfId="0" applyFont="1" applyFill="1"/>
    <xf numFmtId="0" fontId="6" fillId="2" borderId="7" xfId="0" applyFont="1" applyFill="1" applyBorder="1"/>
    <xf numFmtId="0" fontId="1" fillId="2" borderId="1" xfId="0" applyFont="1" applyFill="1" applyBorder="1" applyAlignment="1">
      <alignment horizontal="left" wrapText="1"/>
    </xf>
    <xf numFmtId="0" fontId="1" fillId="2" borderId="1" xfId="0" applyFont="1" applyFill="1" applyBorder="1" applyAlignment="1">
      <alignment horizontal="left"/>
    </xf>
    <xf numFmtId="0" fontId="1" fillId="2" borderId="1" xfId="0" applyFont="1" applyFill="1" applyBorder="1" applyAlignment="1">
      <alignment wrapText="1"/>
    </xf>
    <xf numFmtId="0" fontId="6" fillId="2" borderId="7" xfId="0" applyFont="1" applyFill="1" applyBorder="1" applyAlignment="1">
      <alignment wrapText="1"/>
    </xf>
    <xf numFmtId="0" fontId="8" fillId="2" borderId="1" xfId="0" applyFont="1" applyFill="1" applyBorder="1"/>
    <xf numFmtId="0" fontId="9" fillId="2" borderId="1" xfId="0" applyFont="1" applyFill="1" applyBorder="1"/>
    <xf numFmtId="0" fontId="10" fillId="2" borderId="1" xfId="0" applyFont="1" applyFill="1" applyBorder="1"/>
    <xf numFmtId="0" fontId="3" fillId="6" borderId="1" xfId="0" applyFont="1" applyFill="1" applyBorder="1"/>
    <xf numFmtId="0" fontId="1" fillId="6" borderId="1" xfId="0" applyFont="1" applyFill="1" applyBorder="1"/>
    <xf numFmtId="0" fontId="1" fillId="7" borderId="1" xfId="0" applyFont="1" applyFill="1" applyBorder="1"/>
    <xf numFmtId="0" fontId="6" fillId="2" borderId="1" xfId="0" applyFont="1" applyFill="1" applyBorder="1"/>
    <xf numFmtId="0" fontId="11" fillId="2" borderId="1" xfId="0" applyFont="1" applyFill="1" applyBorder="1" applyAlignment="1">
      <alignment horizontal="center" vertical="center"/>
    </xf>
    <xf numFmtId="0" fontId="11" fillId="2" borderId="9" xfId="0" applyFont="1" applyFill="1" applyBorder="1" applyAlignment="1">
      <alignment horizontal="center" vertical="center"/>
    </xf>
    <xf numFmtId="0" fontId="4" fillId="2" borderId="9" xfId="0" applyFont="1" applyFill="1" applyBorder="1"/>
    <xf numFmtId="0" fontId="1" fillId="2" borderId="9" xfId="0" applyFont="1" applyFill="1" applyBorder="1"/>
    <xf numFmtId="0" fontId="4" fillId="2" borderId="11" xfId="0" applyFont="1" applyFill="1" applyBorder="1"/>
    <xf numFmtId="0" fontId="4" fillId="2" borderId="12" xfId="0" applyFont="1" applyFill="1" applyBorder="1"/>
    <xf numFmtId="0" fontId="4" fillId="2" borderId="13" xfId="0" applyFont="1" applyFill="1" applyBorder="1"/>
    <xf numFmtId="0" fontId="12" fillId="2" borderId="14" xfId="0" applyFont="1" applyFill="1" applyBorder="1" applyAlignment="1">
      <alignment horizontal="left" vertical="center"/>
    </xf>
    <xf numFmtId="0" fontId="11" fillId="2" borderId="15" xfId="0" applyFont="1" applyFill="1" applyBorder="1" applyAlignment="1">
      <alignment horizontal="center" vertical="center"/>
    </xf>
    <xf numFmtId="0" fontId="1" fillId="2" borderId="14" xfId="0" applyFont="1" applyFill="1" applyBorder="1"/>
    <xf numFmtId="0" fontId="1" fillId="2" borderId="15" xfId="0" applyFont="1" applyFill="1" applyBorder="1"/>
    <xf numFmtId="0" fontId="5" fillId="2" borderId="14" xfId="0" applyFont="1" applyFill="1" applyBorder="1"/>
    <xf numFmtId="0" fontId="3" fillId="2" borderId="14" xfId="0" applyFont="1" applyFill="1" applyBorder="1"/>
    <xf numFmtId="0" fontId="13" fillId="2" borderId="1" xfId="0" applyFont="1" applyFill="1" applyBorder="1"/>
    <xf numFmtId="0" fontId="14" fillId="2" borderId="1" xfId="0" applyFont="1" applyFill="1" applyBorder="1"/>
    <xf numFmtId="0" fontId="14" fillId="2" borderId="1" xfId="0" applyFont="1" applyFill="1" applyBorder="1" applyAlignment="1">
      <alignment horizontal="left"/>
    </xf>
    <xf numFmtId="0" fontId="15" fillId="2" borderId="1" xfId="0" applyFont="1" applyFill="1" applyBorder="1"/>
    <xf numFmtId="0" fontId="4" fillId="2" borderId="1" xfId="0" applyFont="1" applyFill="1" applyBorder="1" applyAlignment="1">
      <alignment horizontal="left" wrapText="1"/>
    </xf>
    <xf numFmtId="0" fontId="16" fillId="2" borderId="1" xfId="0" applyFont="1" applyFill="1" applyBorder="1"/>
    <xf numFmtId="0" fontId="19" fillId="2" borderId="1" xfId="0" applyFont="1" applyFill="1" applyBorder="1"/>
    <xf numFmtId="0" fontId="16" fillId="2" borderId="1" xfId="0" applyFont="1" applyFill="1" applyBorder="1" applyAlignment="1">
      <alignment horizontal="left"/>
    </xf>
    <xf numFmtId="0" fontId="19" fillId="2" borderId="1" xfId="0" applyFont="1" applyFill="1" applyBorder="1" applyAlignment="1">
      <alignment horizontal="left"/>
    </xf>
    <xf numFmtId="0" fontId="16" fillId="2" borderId="1" xfId="0" quotePrefix="1" applyFont="1" applyFill="1" applyBorder="1" applyAlignment="1">
      <alignment horizontal="left"/>
    </xf>
    <xf numFmtId="0" fontId="1" fillId="2" borderId="19" xfId="0" applyFont="1" applyFill="1" applyBorder="1" applyAlignment="1">
      <alignment horizontal="left"/>
    </xf>
    <xf numFmtId="0" fontId="4" fillId="2" borderId="1" xfId="0" applyFont="1" applyFill="1" applyBorder="1" applyAlignment="1">
      <alignment horizontal="left"/>
    </xf>
    <xf numFmtId="0" fontId="0" fillId="2" borderId="1" xfId="0" applyFill="1" applyBorder="1"/>
    <xf numFmtId="0" fontId="20" fillId="2" borderId="12" xfId="0" applyFont="1" applyFill="1" applyBorder="1"/>
    <xf numFmtId="0" fontId="21" fillId="2" borderId="1" xfId="0" applyFont="1" applyFill="1" applyBorder="1"/>
    <xf numFmtId="0" fontId="4" fillId="2" borderId="20" xfId="0" applyFont="1" applyFill="1" applyBorder="1"/>
    <xf numFmtId="0" fontId="1" fillId="2" borderId="1" xfId="0" applyFont="1" applyFill="1" applyBorder="1" applyAlignment="1">
      <alignment vertical="center" wrapText="1"/>
    </xf>
    <xf numFmtId="0" fontId="16" fillId="2" borderId="1" xfId="0" quotePrefix="1" applyFont="1" applyFill="1" applyBorder="1"/>
    <xf numFmtId="0" fontId="18" fillId="2" borderId="1" xfId="0" applyFont="1" applyFill="1" applyBorder="1" applyAlignment="1">
      <alignment horizontal="right"/>
    </xf>
    <xf numFmtId="0" fontId="1" fillId="2" borderId="1" xfId="0" applyFont="1" applyFill="1" applyBorder="1" applyAlignment="1">
      <alignment horizontal="right"/>
    </xf>
    <xf numFmtId="0" fontId="1" fillId="2" borderId="1" xfId="0" applyFont="1" applyFill="1" applyBorder="1" applyAlignment="1">
      <alignment horizontal="right" wrapText="1"/>
    </xf>
    <xf numFmtId="0" fontId="8" fillId="2" borderId="1" xfId="0" applyFont="1" applyFill="1" applyBorder="1" applyAlignment="1">
      <alignment horizontal="right"/>
    </xf>
    <xf numFmtId="0" fontId="4" fillId="2" borderId="8" xfId="0" applyFont="1" applyFill="1" applyBorder="1" applyAlignment="1">
      <alignment horizontal="left"/>
    </xf>
    <xf numFmtId="0" fontId="18" fillId="2" borderId="8" xfId="0" applyFont="1" applyFill="1" applyBorder="1" applyAlignment="1">
      <alignment horizontal="right"/>
    </xf>
    <xf numFmtId="0" fontId="1" fillId="2" borderId="8" xfId="0" applyFont="1" applyFill="1" applyBorder="1" applyAlignment="1">
      <alignment horizontal="left"/>
    </xf>
    <xf numFmtId="0" fontId="1" fillId="2" borderId="8" xfId="0" applyFont="1" applyFill="1" applyBorder="1" applyAlignment="1">
      <alignment horizontal="right"/>
    </xf>
    <xf numFmtId="0" fontId="1" fillId="2" borderId="8" xfId="0" applyFont="1" applyFill="1" applyBorder="1" applyAlignment="1">
      <alignment horizontal="right" wrapText="1"/>
    </xf>
    <xf numFmtId="0" fontId="4" fillId="2" borderId="9" xfId="0" applyFont="1" applyFill="1" applyBorder="1" applyAlignment="1">
      <alignment horizontal="left"/>
    </xf>
    <xf numFmtId="0" fontId="18" fillId="2" borderId="9" xfId="0" applyFont="1" applyFill="1" applyBorder="1" applyAlignment="1">
      <alignment horizontal="right"/>
    </xf>
    <xf numFmtId="0" fontId="1" fillId="2" borderId="9" xfId="0" applyFont="1" applyFill="1" applyBorder="1" applyAlignment="1">
      <alignment horizontal="left"/>
    </xf>
    <xf numFmtId="0" fontId="1" fillId="2" borderId="9" xfId="0" applyFont="1" applyFill="1" applyBorder="1" applyAlignment="1">
      <alignment horizontal="right"/>
    </xf>
    <xf numFmtId="0" fontId="1" fillId="2" borderId="9" xfId="0" applyFont="1" applyFill="1" applyBorder="1" applyAlignment="1">
      <alignment horizontal="right" wrapText="1"/>
    </xf>
    <xf numFmtId="0" fontId="4" fillId="2" borderId="21" xfId="0" applyFont="1" applyFill="1" applyBorder="1" applyAlignment="1">
      <alignment horizontal="left"/>
    </xf>
    <xf numFmtId="0" fontId="18" fillId="2" borderId="22" xfId="0" applyFont="1" applyFill="1" applyBorder="1" applyAlignment="1">
      <alignment horizontal="right"/>
    </xf>
    <xf numFmtId="0" fontId="1" fillId="2" borderId="22" xfId="0" applyFont="1" applyFill="1" applyBorder="1" applyAlignment="1">
      <alignment horizontal="left"/>
    </xf>
    <xf numFmtId="0" fontId="1" fillId="2" borderId="22" xfId="0" applyFont="1" applyFill="1" applyBorder="1" applyAlignment="1">
      <alignment horizontal="right"/>
    </xf>
    <xf numFmtId="0" fontId="1" fillId="2" borderId="22" xfId="0" applyFont="1" applyFill="1" applyBorder="1" applyAlignment="1">
      <alignment horizontal="right" wrapText="1"/>
    </xf>
    <xf numFmtId="0" fontId="22" fillId="8" borderId="12" xfId="0" applyFont="1" applyFill="1" applyBorder="1"/>
    <xf numFmtId="0" fontId="0" fillId="8" borderId="1" xfId="0" applyFill="1" applyBorder="1"/>
    <xf numFmtId="0" fontId="20" fillId="8" borderId="19" xfId="0" applyFont="1" applyFill="1" applyBorder="1"/>
    <xf numFmtId="0" fontId="1" fillId="8" borderId="1" xfId="0" applyFont="1" applyFill="1" applyBorder="1"/>
    <xf numFmtId="0" fontId="1" fillId="8" borderId="1" xfId="0" applyFont="1" applyFill="1" applyBorder="1" applyAlignment="1">
      <alignment horizontal="left"/>
    </xf>
    <xf numFmtId="0" fontId="1" fillId="8" borderId="1" xfId="0" applyFont="1" applyFill="1" applyBorder="1" applyAlignment="1">
      <alignment horizontal="right"/>
    </xf>
    <xf numFmtId="0" fontId="1" fillId="8" borderId="8" xfId="0" applyFont="1" applyFill="1" applyBorder="1" applyAlignment="1">
      <alignment horizontal="right"/>
    </xf>
    <xf numFmtId="0" fontId="1" fillId="8" borderId="22" xfId="0" applyFont="1" applyFill="1" applyBorder="1" applyAlignment="1">
      <alignment horizontal="right"/>
    </xf>
    <xf numFmtId="0" fontId="1" fillId="8" borderId="9" xfId="0" applyFont="1" applyFill="1" applyBorder="1" applyAlignment="1">
      <alignment horizontal="right"/>
    </xf>
    <xf numFmtId="0" fontId="4" fillId="8" borderId="19" xfId="0" applyFont="1" applyFill="1" applyBorder="1"/>
    <xf numFmtId="0" fontId="5" fillId="8" borderId="1" xfId="0" applyFont="1" applyFill="1" applyBorder="1"/>
    <xf numFmtId="0" fontId="3" fillId="8" borderId="12" xfId="0" applyFont="1" applyFill="1" applyBorder="1"/>
    <xf numFmtId="0" fontId="24" fillId="2" borderId="1" xfId="0" applyFont="1" applyFill="1" applyBorder="1"/>
    <xf numFmtId="0" fontId="25" fillId="2" borderId="1" xfId="0" applyFont="1" applyFill="1" applyBorder="1"/>
    <xf numFmtId="0" fontId="25" fillId="3" borderId="1" xfId="0" applyFont="1" applyFill="1" applyBorder="1"/>
    <xf numFmtId="0" fontId="25" fillId="4" borderId="1" xfId="0" applyFont="1" applyFill="1" applyBorder="1"/>
    <xf numFmtId="0" fontId="25" fillId="8" borderId="1" xfId="0" applyFont="1" applyFill="1" applyBorder="1"/>
    <xf numFmtId="0" fontId="26" fillId="2" borderId="1" xfId="0" applyFont="1" applyFill="1" applyBorder="1"/>
    <xf numFmtId="0" fontId="26" fillId="3" borderId="1" xfId="0" applyFont="1" applyFill="1" applyBorder="1"/>
    <xf numFmtId="0" fontId="26" fillId="4" borderId="1" xfId="0" applyFont="1" applyFill="1" applyBorder="1"/>
    <xf numFmtId="0" fontId="26" fillId="8" borderId="1" xfId="0" applyFont="1" applyFill="1" applyBorder="1"/>
    <xf numFmtId="0" fontId="27" fillId="2" borderId="1" xfId="0" applyFont="1" applyFill="1" applyBorder="1"/>
    <xf numFmtId="0" fontId="27" fillId="3" borderId="1" xfId="0" applyFont="1" applyFill="1" applyBorder="1"/>
    <xf numFmtId="0" fontId="27" fillId="4" borderId="1" xfId="0" applyFont="1" applyFill="1" applyBorder="1"/>
    <xf numFmtId="0" fontId="27" fillId="8" borderId="1" xfId="0" applyFont="1" applyFill="1" applyBorder="1"/>
    <xf numFmtId="0" fontId="28" fillId="2" borderId="1" xfId="0" applyFont="1" applyFill="1" applyBorder="1"/>
    <xf numFmtId="0" fontId="28" fillId="3" borderId="1" xfId="0" applyFont="1" applyFill="1" applyBorder="1"/>
    <xf numFmtId="0" fontId="28" fillId="4" borderId="1" xfId="0" applyFont="1" applyFill="1" applyBorder="1"/>
    <xf numFmtId="0" fontId="28" fillId="8" borderId="1" xfId="0" applyFont="1" applyFill="1" applyBorder="1"/>
    <xf numFmtId="0" fontId="29" fillId="2" borderId="1" xfId="0" applyFont="1" applyFill="1" applyBorder="1"/>
    <xf numFmtId="0" fontId="29" fillId="3" borderId="1" xfId="0" applyFont="1" applyFill="1" applyBorder="1"/>
    <xf numFmtId="0" fontId="29" fillId="4" borderId="1" xfId="0" applyFont="1" applyFill="1" applyBorder="1"/>
    <xf numFmtId="0" fontId="29" fillId="8" borderId="1" xfId="0" applyFont="1" applyFill="1" applyBorder="1"/>
    <xf numFmtId="0" fontId="30" fillId="2" borderId="1" xfId="0" applyFont="1" applyFill="1" applyBorder="1"/>
    <xf numFmtId="0" fontId="30" fillId="8" borderId="1" xfId="0" applyFont="1" applyFill="1" applyBorder="1"/>
    <xf numFmtId="0" fontId="30" fillId="2" borderId="1" xfId="0" applyFont="1" applyFill="1" applyBorder="1" applyAlignment="1">
      <alignment horizontal="left"/>
    </xf>
    <xf numFmtId="0" fontId="23" fillId="2" borderId="1" xfId="0" applyFont="1" applyFill="1" applyBorder="1"/>
    <xf numFmtId="0" fontId="23" fillId="8" borderId="1" xfId="0" applyFont="1" applyFill="1" applyBorder="1"/>
    <xf numFmtId="0" fontId="31" fillId="2" borderId="1" xfId="0" applyFont="1" applyFill="1" applyBorder="1"/>
    <xf numFmtId="0" fontId="31" fillId="3" borderId="1" xfId="0" applyFont="1" applyFill="1" applyBorder="1"/>
    <xf numFmtId="0" fontId="31" fillId="4" borderId="1" xfId="0" applyFont="1" applyFill="1" applyBorder="1"/>
    <xf numFmtId="0" fontId="31" fillId="8" borderId="1" xfId="0" applyFont="1" applyFill="1" applyBorder="1"/>
    <xf numFmtId="0" fontId="33" fillId="2" borderId="1" xfId="0" applyFont="1" applyFill="1" applyBorder="1"/>
    <xf numFmtId="0" fontId="33" fillId="3" borderId="1" xfId="0" applyFont="1" applyFill="1" applyBorder="1"/>
    <xf numFmtId="0" fontId="33" fillId="4" borderId="1" xfId="0" applyFont="1" applyFill="1" applyBorder="1"/>
    <xf numFmtId="0" fontId="33" fillId="8" borderId="1" xfId="0" applyFont="1" applyFill="1" applyBorder="1"/>
    <xf numFmtId="0" fontId="33" fillId="2" borderId="1" xfId="0" applyFont="1" applyFill="1" applyBorder="1" applyAlignment="1">
      <alignment horizontal="left"/>
    </xf>
    <xf numFmtId="0" fontId="32" fillId="2" borderId="1" xfId="0" applyFont="1" applyFill="1" applyBorder="1"/>
    <xf numFmtId="0" fontId="32" fillId="3" borderId="1" xfId="0" applyFont="1" applyFill="1" applyBorder="1"/>
    <xf numFmtId="0" fontId="32" fillId="4" borderId="1" xfId="0" applyFont="1" applyFill="1" applyBorder="1"/>
    <xf numFmtId="0" fontId="32" fillId="8" borderId="1" xfId="0" applyFont="1" applyFill="1" applyBorder="1"/>
    <xf numFmtId="0" fontId="32" fillId="2" borderId="1" xfId="0" applyFont="1" applyFill="1" applyBorder="1" applyAlignment="1">
      <alignment horizontal="left"/>
    </xf>
    <xf numFmtId="0" fontId="4" fillId="2" borderId="1" xfId="0" applyFont="1" applyFill="1" applyBorder="1" applyAlignment="1">
      <alignment horizontal="left" textRotation="90"/>
    </xf>
    <xf numFmtId="0" fontId="34" fillId="2" borderId="1" xfId="0" applyFont="1" applyFill="1" applyBorder="1" applyAlignment="1">
      <alignment textRotation="90"/>
    </xf>
    <xf numFmtId="0" fontId="35" fillId="2" borderId="1" xfId="0" applyFont="1" applyFill="1" applyBorder="1" applyAlignment="1">
      <alignment textRotation="90"/>
    </xf>
    <xf numFmtId="0" fontId="3" fillId="2" borderId="1" xfId="0" applyFont="1" applyFill="1" applyBorder="1" applyAlignment="1">
      <alignment textRotation="90"/>
    </xf>
    <xf numFmtId="0" fontId="36" fillId="2" borderId="1" xfId="0" applyFont="1" applyFill="1" applyBorder="1" applyAlignment="1">
      <alignment textRotation="90"/>
    </xf>
    <xf numFmtId="0" fontId="37" fillId="2" borderId="1" xfId="0" applyFont="1" applyFill="1" applyBorder="1" applyAlignment="1">
      <alignment textRotation="90"/>
    </xf>
    <xf numFmtId="0" fontId="38" fillId="2" borderId="1" xfId="0" applyFont="1" applyFill="1" applyBorder="1" applyAlignment="1">
      <alignment textRotation="90"/>
    </xf>
    <xf numFmtId="0" fontId="39" fillId="2" borderId="1" xfId="0" applyFont="1" applyFill="1" applyBorder="1" applyAlignment="1">
      <alignment textRotation="90"/>
    </xf>
    <xf numFmtId="0" fontId="40" fillId="2" borderId="1" xfId="0" applyFont="1" applyFill="1" applyBorder="1" applyAlignment="1">
      <alignment textRotation="90"/>
    </xf>
    <xf numFmtId="0" fontId="41" fillId="2" borderId="1" xfId="0" applyFont="1" applyFill="1" applyBorder="1" applyAlignment="1">
      <alignment textRotation="90"/>
    </xf>
    <xf numFmtId="0" fontId="42" fillId="2" borderId="1" xfId="0" applyFont="1" applyFill="1" applyBorder="1" applyAlignment="1">
      <alignment textRotation="90"/>
    </xf>
    <xf numFmtId="0" fontId="43" fillId="2" borderId="1" xfId="0" applyFont="1" applyFill="1" applyBorder="1" applyAlignment="1">
      <alignment textRotation="90"/>
    </xf>
    <xf numFmtId="0" fontId="3" fillId="2" borderId="1" xfId="0" applyFont="1" applyFill="1" applyBorder="1" applyAlignment="1">
      <alignment horizontal="left"/>
    </xf>
    <xf numFmtId="0" fontId="36" fillId="2" borderId="1" xfId="0" applyFont="1" applyFill="1" applyBorder="1" applyAlignment="1">
      <alignment horizontal="left"/>
    </xf>
    <xf numFmtId="0" fontId="37" fillId="2" borderId="1" xfId="0" applyFont="1" applyFill="1" applyBorder="1" applyAlignment="1">
      <alignment horizontal="left"/>
    </xf>
    <xf numFmtId="0" fontId="38" fillId="2" borderId="1" xfId="0" applyFont="1" applyFill="1" applyBorder="1" applyAlignment="1">
      <alignment horizontal="left"/>
    </xf>
    <xf numFmtId="0" fontId="39" fillId="2" borderId="1" xfId="0" applyFont="1" applyFill="1" applyBorder="1" applyAlignment="1">
      <alignment horizontal="left"/>
    </xf>
    <xf numFmtId="0" fontId="40" fillId="2" borderId="1" xfId="0" applyFont="1" applyFill="1" applyBorder="1" applyAlignment="1">
      <alignment horizontal="left"/>
    </xf>
    <xf numFmtId="0" fontId="41" fillId="2" borderId="1" xfId="0" applyFont="1" applyFill="1" applyBorder="1" applyAlignment="1">
      <alignment horizontal="left"/>
    </xf>
    <xf numFmtId="0" fontId="42" fillId="2" borderId="1" xfId="0" applyFont="1" applyFill="1" applyBorder="1" applyAlignment="1">
      <alignment horizontal="left"/>
    </xf>
    <xf numFmtId="0" fontId="43" fillId="2" borderId="1" xfId="0" applyFont="1" applyFill="1" applyBorder="1" applyAlignment="1">
      <alignment horizontal="left"/>
    </xf>
    <xf numFmtId="0" fontId="44" fillId="2" borderId="1" xfId="0" applyFont="1" applyFill="1" applyBorder="1"/>
    <xf numFmtId="0" fontId="32" fillId="6" borderId="1" xfId="0" applyFont="1" applyFill="1" applyBorder="1"/>
    <xf numFmtId="0" fontId="33" fillId="6" borderId="1" xfId="0" applyFont="1" applyFill="1" applyBorder="1"/>
    <xf numFmtId="0" fontId="25" fillId="6" borderId="1" xfId="0" applyFont="1" applyFill="1" applyBorder="1"/>
    <xf numFmtId="0" fontId="26" fillId="6" borderId="1" xfId="0" applyFont="1" applyFill="1" applyBorder="1"/>
    <xf numFmtId="0" fontId="28" fillId="6" borderId="1" xfId="0" applyFont="1" applyFill="1" applyBorder="1"/>
    <xf numFmtId="0" fontId="27" fillId="6" borderId="1" xfId="0" applyFont="1" applyFill="1" applyBorder="1"/>
    <xf numFmtId="0" fontId="29" fillId="6" borderId="1" xfId="0" applyFont="1" applyFill="1" applyBorder="1"/>
    <xf numFmtId="0" fontId="31" fillId="6" borderId="1" xfId="0" applyFont="1" applyFill="1" applyBorder="1"/>
    <xf numFmtId="0" fontId="30" fillId="6" borderId="1" xfId="0" applyFont="1" applyFill="1" applyBorder="1"/>
    <xf numFmtId="0" fontId="23" fillId="6" borderId="1" xfId="0" applyFont="1" applyFill="1" applyBorder="1"/>
    <xf numFmtId="0" fontId="6" fillId="6" borderId="7" xfId="0" applyFont="1" applyFill="1" applyBorder="1"/>
    <xf numFmtId="0" fontId="6" fillId="6" borderId="0" xfId="0" applyFont="1" applyFill="1"/>
    <xf numFmtId="0" fontId="1" fillId="2" borderId="18" xfId="0" applyFont="1" applyFill="1" applyBorder="1" applyAlignment="1">
      <alignment horizontal="center" wrapText="1"/>
    </xf>
    <xf numFmtId="0" fontId="1" fillId="2" borderId="19" xfId="0" applyFont="1" applyFill="1" applyBorder="1" applyAlignment="1">
      <alignment horizontal="center" wrapText="1"/>
    </xf>
    <xf numFmtId="0" fontId="1" fillId="2" borderId="8" xfId="0" applyFont="1" applyFill="1" applyBorder="1" applyAlignment="1">
      <alignment horizontal="center" wrapText="1"/>
    </xf>
    <xf numFmtId="0" fontId="1" fillId="2" borderId="9" xfId="0" applyFont="1" applyFill="1" applyBorder="1" applyAlignment="1">
      <alignment horizontal="center" wrapText="1"/>
    </xf>
    <xf numFmtId="0" fontId="11" fillId="2" borderId="16"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7"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8" xfId="0" applyFont="1" applyFill="1" applyBorder="1" applyAlignment="1">
      <alignment horizontal="center" vertical="center"/>
    </xf>
    <xf numFmtId="0" fontId="2" fillId="5" borderId="0" xfId="0" applyFont="1" applyFill="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456A2C"/>
      <color rgb="FFBE2095"/>
      <color rgb="FFFF85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'Buildings old'!$B$183:$B$232</c:f>
              <c:numCache>
                <c:formatCode>General</c:formatCode>
                <c:ptCount val="50"/>
                <c:pt idx="0">
                  <c:v>0</c:v>
                </c:pt>
                <c:pt idx="1">
                  <c:v>1</c:v>
                </c:pt>
                <c:pt idx="2">
                  <c:v>1</c:v>
                </c:pt>
                <c:pt idx="3">
                  <c:v>1</c:v>
                </c:pt>
                <c:pt idx="4">
                  <c:v>1</c:v>
                </c:pt>
                <c:pt idx="5">
                  <c:v>1</c:v>
                </c:pt>
                <c:pt idx="6">
                  <c:v>2</c:v>
                </c:pt>
                <c:pt idx="7">
                  <c:v>2</c:v>
                </c:pt>
                <c:pt idx="8">
                  <c:v>2</c:v>
                </c:pt>
                <c:pt idx="9">
                  <c:v>3</c:v>
                </c:pt>
                <c:pt idx="10">
                  <c:v>3</c:v>
                </c:pt>
                <c:pt idx="11">
                  <c:v>3</c:v>
                </c:pt>
                <c:pt idx="12">
                  <c:v>3</c:v>
                </c:pt>
                <c:pt idx="13">
                  <c:v>4</c:v>
                </c:pt>
                <c:pt idx="14">
                  <c:v>4</c:v>
                </c:pt>
                <c:pt idx="15">
                  <c:v>4</c:v>
                </c:pt>
                <c:pt idx="16">
                  <c:v>4</c:v>
                </c:pt>
                <c:pt idx="17">
                  <c:v>5</c:v>
                </c:pt>
                <c:pt idx="18">
                  <c:v>5</c:v>
                </c:pt>
                <c:pt idx="19">
                  <c:v>5</c:v>
                </c:pt>
                <c:pt idx="20">
                  <c:v>5</c:v>
                </c:pt>
                <c:pt idx="21">
                  <c:v>5</c:v>
                </c:pt>
                <c:pt idx="22">
                  <c:v>5</c:v>
                </c:pt>
                <c:pt idx="23">
                  <c:v>6</c:v>
                </c:pt>
                <c:pt idx="24">
                  <c:v>6</c:v>
                </c:pt>
                <c:pt idx="25">
                  <c:v>6</c:v>
                </c:pt>
                <c:pt idx="26">
                  <c:v>6</c:v>
                </c:pt>
                <c:pt idx="27">
                  <c:v>6</c:v>
                </c:pt>
                <c:pt idx="28">
                  <c:v>6</c:v>
                </c:pt>
                <c:pt idx="29">
                  <c:v>6</c:v>
                </c:pt>
                <c:pt idx="30">
                  <c:v>6</c:v>
                </c:pt>
                <c:pt idx="31">
                  <c:v>6</c:v>
                </c:pt>
                <c:pt idx="32">
                  <c:v>6</c:v>
                </c:pt>
                <c:pt idx="33">
                  <c:v>6</c:v>
                </c:pt>
                <c:pt idx="34">
                  <c:v>6</c:v>
                </c:pt>
                <c:pt idx="35">
                  <c:v>7</c:v>
                </c:pt>
                <c:pt idx="36">
                  <c:v>7</c:v>
                </c:pt>
                <c:pt idx="37">
                  <c:v>7</c:v>
                </c:pt>
                <c:pt idx="38">
                  <c:v>7</c:v>
                </c:pt>
                <c:pt idx="39">
                  <c:v>7</c:v>
                </c:pt>
                <c:pt idx="40">
                  <c:v>7</c:v>
                </c:pt>
                <c:pt idx="41">
                  <c:v>7</c:v>
                </c:pt>
                <c:pt idx="42">
                  <c:v>7</c:v>
                </c:pt>
                <c:pt idx="43">
                  <c:v>8</c:v>
                </c:pt>
                <c:pt idx="44">
                  <c:v>8</c:v>
                </c:pt>
                <c:pt idx="45">
                  <c:v>8</c:v>
                </c:pt>
                <c:pt idx="46">
                  <c:v>8</c:v>
                </c:pt>
                <c:pt idx="47">
                  <c:v>8</c:v>
                </c:pt>
                <c:pt idx="48">
                  <c:v>8</c:v>
                </c:pt>
                <c:pt idx="49">
                  <c:v>9</c:v>
                </c:pt>
              </c:numCache>
            </c:numRef>
          </c:yVal>
          <c:smooth val="0"/>
          <c:extLst>
            <c:ext xmlns:c16="http://schemas.microsoft.com/office/drawing/2014/chart" uri="{C3380CC4-5D6E-409C-BE32-E72D297353CC}">
              <c16:uniqueId val="{00000000-AD99-474A-8154-8D8BF7B16CE2}"/>
            </c:ext>
          </c:extLst>
        </c:ser>
        <c:dLbls>
          <c:showLegendKey val="0"/>
          <c:showVal val="0"/>
          <c:showCatName val="0"/>
          <c:showSerName val="0"/>
          <c:showPercent val="0"/>
          <c:showBubbleSize val="0"/>
        </c:dLbls>
        <c:axId val="563530671"/>
        <c:axId val="563531151"/>
      </c:scatterChart>
      <c:valAx>
        <c:axId val="56353067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63531151"/>
        <c:crosses val="autoZero"/>
        <c:crossBetween val="midCat"/>
      </c:valAx>
      <c:valAx>
        <c:axId val="56353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6353067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619124</xdr:colOff>
      <xdr:row>203</xdr:row>
      <xdr:rowOff>61912</xdr:rowOff>
    </xdr:from>
    <xdr:to>
      <xdr:col>11</xdr:col>
      <xdr:colOff>971549</xdr:colOff>
      <xdr:row>217</xdr:row>
      <xdr:rowOff>138112</xdr:rowOff>
    </xdr:to>
    <xdr:graphicFrame macro="">
      <xdr:nvGraphicFramePr>
        <xdr:cNvPr id="3" name="Graphique 2">
          <a:extLst>
            <a:ext uri="{FF2B5EF4-FFF2-40B4-BE49-F238E27FC236}">
              <a16:creationId xmlns:a16="http://schemas.microsoft.com/office/drawing/2014/main" id="{B7083675-63F4-4E17-D6BF-E92F9EA45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914400</xdr:colOff>
      <xdr:row>5</xdr:row>
      <xdr:rowOff>190500</xdr:rowOff>
    </xdr:from>
    <xdr:to>
      <xdr:col>3</xdr:col>
      <xdr:colOff>179025</xdr:colOff>
      <xdr:row>5</xdr:row>
      <xdr:rowOff>190500</xdr:rowOff>
    </xdr:to>
    <xdr:cxnSp macro="">
      <xdr:nvCxnSpPr>
        <xdr:cNvPr id="3" name="Connecteur droit 2">
          <a:extLst>
            <a:ext uri="{FF2B5EF4-FFF2-40B4-BE49-F238E27FC236}">
              <a16:creationId xmlns:a16="http://schemas.microsoft.com/office/drawing/2014/main" id="{3B420388-15EB-48B7-9B8F-A80A3102EB77}"/>
            </a:ext>
          </a:extLst>
        </xdr:cNvPr>
        <xdr:cNvCxnSpPr/>
      </xdr:nvCxnSpPr>
      <xdr:spPr>
        <a:xfrm>
          <a:off x="2009775" y="1333500"/>
          <a:ext cx="360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923925</xdr:colOff>
      <xdr:row>14</xdr:row>
      <xdr:rowOff>104775</xdr:rowOff>
    </xdr:from>
    <xdr:to>
      <xdr:col>2</xdr:col>
      <xdr:colOff>116550</xdr:colOff>
      <xdr:row>14</xdr:row>
      <xdr:rowOff>104775</xdr:rowOff>
    </xdr:to>
    <xdr:cxnSp macro="">
      <xdr:nvCxnSpPr>
        <xdr:cNvPr id="4" name="Connecteur droit 3">
          <a:extLst>
            <a:ext uri="{FF2B5EF4-FFF2-40B4-BE49-F238E27FC236}">
              <a16:creationId xmlns:a16="http://schemas.microsoft.com/office/drawing/2014/main" id="{E9D88CD6-288D-41E8-8522-751C5554E168}"/>
            </a:ext>
          </a:extLst>
        </xdr:cNvPr>
        <xdr:cNvCxnSpPr/>
      </xdr:nvCxnSpPr>
      <xdr:spPr>
        <a:xfrm>
          <a:off x="2019300" y="3533775"/>
          <a:ext cx="28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971550</xdr:colOff>
      <xdr:row>12</xdr:row>
      <xdr:rowOff>190500</xdr:rowOff>
    </xdr:from>
    <xdr:to>
      <xdr:col>3</xdr:col>
      <xdr:colOff>93300</xdr:colOff>
      <xdr:row>14</xdr:row>
      <xdr:rowOff>95250</xdr:rowOff>
    </xdr:to>
    <xdr:cxnSp macro="">
      <xdr:nvCxnSpPr>
        <xdr:cNvPr id="5" name="Connecteur droit 4">
          <a:extLst>
            <a:ext uri="{FF2B5EF4-FFF2-40B4-BE49-F238E27FC236}">
              <a16:creationId xmlns:a16="http://schemas.microsoft.com/office/drawing/2014/main" id="{FBAF2822-F2C3-46C1-B16F-50804F8F4ACD}"/>
            </a:ext>
          </a:extLst>
        </xdr:cNvPr>
        <xdr:cNvCxnSpPr/>
      </xdr:nvCxnSpPr>
      <xdr:spPr>
        <a:xfrm flipV="1">
          <a:off x="3162300" y="3048000"/>
          <a:ext cx="217125" cy="4762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981075</xdr:colOff>
      <xdr:row>14</xdr:row>
      <xdr:rowOff>95250</xdr:rowOff>
    </xdr:from>
    <xdr:to>
      <xdr:col>4</xdr:col>
      <xdr:colOff>400050</xdr:colOff>
      <xdr:row>16</xdr:row>
      <xdr:rowOff>114300</xdr:rowOff>
    </xdr:to>
    <xdr:cxnSp macro="">
      <xdr:nvCxnSpPr>
        <xdr:cNvPr id="7" name="Connecteur droit 6">
          <a:extLst>
            <a:ext uri="{FF2B5EF4-FFF2-40B4-BE49-F238E27FC236}">
              <a16:creationId xmlns:a16="http://schemas.microsoft.com/office/drawing/2014/main" id="{ECFBF883-D118-425D-A10B-3033ADECF0B8}"/>
            </a:ext>
          </a:extLst>
        </xdr:cNvPr>
        <xdr:cNvCxnSpPr/>
      </xdr:nvCxnSpPr>
      <xdr:spPr>
        <a:xfrm>
          <a:off x="3171825" y="3733800"/>
          <a:ext cx="1609725" cy="4000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923925</xdr:colOff>
      <xdr:row>5</xdr:row>
      <xdr:rowOff>200025</xdr:rowOff>
    </xdr:from>
    <xdr:to>
      <xdr:col>4</xdr:col>
      <xdr:colOff>332550</xdr:colOff>
      <xdr:row>5</xdr:row>
      <xdr:rowOff>200025</xdr:rowOff>
    </xdr:to>
    <xdr:cxnSp macro="">
      <xdr:nvCxnSpPr>
        <xdr:cNvPr id="12" name="Connecteur droit 11">
          <a:extLst>
            <a:ext uri="{FF2B5EF4-FFF2-40B4-BE49-F238E27FC236}">
              <a16:creationId xmlns:a16="http://schemas.microsoft.com/office/drawing/2014/main" id="{CF6D5B4D-FB41-4652-B0BA-E1B1C1D8B71F}"/>
            </a:ext>
          </a:extLst>
        </xdr:cNvPr>
        <xdr:cNvCxnSpPr/>
      </xdr:nvCxnSpPr>
      <xdr:spPr>
        <a:xfrm>
          <a:off x="3114675" y="1343025"/>
          <a:ext cx="504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762000</xdr:colOff>
      <xdr:row>4</xdr:row>
      <xdr:rowOff>219075</xdr:rowOff>
    </xdr:from>
    <xdr:to>
      <xdr:col>5</xdr:col>
      <xdr:colOff>38100</xdr:colOff>
      <xdr:row>5</xdr:row>
      <xdr:rowOff>209550</xdr:rowOff>
    </xdr:to>
    <xdr:cxnSp macro="">
      <xdr:nvCxnSpPr>
        <xdr:cNvPr id="14" name="Connecteur droit 13">
          <a:extLst>
            <a:ext uri="{FF2B5EF4-FFF2-40B4-BE49-F238E27FC236}">
              <a16:creationId xmlns:a16="http://schemas.microsoft.com/office/drawing/2014/main" id="{A7419F80-1A89-4384-9B91-F4F3026F8F5B}"/>
            </a:ext>
          </a:extLst>
        </xdr:cNvPr>
        <xdr:cNvCxnSpPr/>
      </xdr:nvCxnSpPr>
      <xdr:spPr>
        <a:xfrm flipV="1">
          <a:off x="5143500" y="1190625"/>
          <a:ext cx="371475" cy="3714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762000</xdr:colOff>
      <xdr:row>5</xdr:row>
      <xdr:rowOff>209550</xdr:rowOff>
    </xdr:from>
    <xdr:to>
      <xdr:col>5</xdr:col>
      <xdr:colOff>1085850</xdr:colOff>
      <xdr:row>5</xdr:row>
      <xdr:rowOff>209550</xdr:rowOff>
    </xdr:to>
    <xdr:cxnSp macro="">
      <xdr:nvCxnSpPr>
        <xdr:cNvPr id="16" name="Connecteur droit 15">
          <a:extLst>
            <a:ext uri="{FF2B5EF4-FFF2-40B4-BE49-F238E27FC236}">
              <a16:creationId xmlns:a16="http://schemas.microsoft.com/office/drawing/2014/main" id="{28DCBA92-275E-4992-8CDE-A3C5532B09AC}"/>
            </a:ext>
          </a:extLst>
        </xdr:cNvPr>
        <xdr:cNvCxnSpPr/>
      </xdr:nvCxnSpPr>
      <xdr:spPr>
        <a:xfrm flipV="1">
          <a:off x="5143500" y="1562100"/>
          <a:ext cx="14192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766330</xdr:colOff>
      <xdr:row>5</xdr:row>
      <xdr:rowOff>207818</xdr:rowOff>
    </xdr:from>
    <xdr:to>
      <xdr:col>6</xdr:col>
      <xdr:colOff>19050</xdr:colOff>
      <xdr:row>7</xdr:row>
      <xdr:rowOff>180975</xdr:rowOff>
    </xdr:to>
    <xdr:cxnSp macro="">
      <xdr:nvCxnSpPr>
        <xdr:cNvPr id="18" name="Connecteur droit 17">
          <a:extLst>
            <a:ext uri="{FF2B5EF4-FFF2-40B4-BE49-F238E27FC236}">
              <a16:creationId xmlns:a16="http://schemas.microsoft.com/office/drawing/2014/main" id="{3D38D7B4-1BB7-4CFD-AA41-9A7A0F67CDC8}"/>
            </a:ext>
          </a:extLst>
        </xdr:cNvPr>
        <xdr:cNvCxnSpPr/>
      </xdr:nvCxnSpPr>
      <xdr:spPr>
        <a:xfrm>
          <a:off x="5147830" y="1558636"/>
          <a:ext cx="1443470" cy="54465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981075</xdr:colOff>
      <xdr:row>4</xdr:row>
      <xdr:rowOff>228600</xdr:rowOff>
    </xdr:from>
    <xdr:to>
      <xdr:col>7</xdr:col>
      <xdr:colOff>142875</xdr:colOff>
      <xdr:row>4</xdr:row>
      <xdr:rowOff>228600</xdr:rowOff>
    </xdr:to>
    <xdr:cxnSp macro="">
      <xdr:nvCxnSpPr>
        <xdr:cNvPr id="21" name="Connecteur droit 20">
          <a:extLst>
            <a:ext uri="{FF2B5EF4-FFF2-40B4-BE49-F238E27FC236}">
              <a16:creationId xmlns:a16="http://schemas.microsoft.com/office/drawing/2014/main" id="{F1D97B5A-53B2-46CE-B82F-855826865668}"/>
            </a:ext>
          </a:extLst>
        </xdr:cNvPr>
        <xdr:cNvCxnSpPr/>
      </xdr:nvCxnSpPr>
      <xdr:spPr>
        <a:xfrm flipV="1">
          <a:off x="6457950" y="990600"/>
          <a:ext cx="13525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952500</xdr:colOff>
      <xdr:row>4</xdr:row>
      <xdr:rowOff>238125</xdr:rowOff>
    </xdr:from>
    <xdr:to>
      <xdr:col>8</xdr:col>
      <xdr:colOff>28575</xdr:colOff>
      <xdr:row>5</xdr:row>
      <xdr:rowOff>180975</xdr:rowOff>
    </xdr:to>
    <xdr:cxnSp macro="">
      <xdr:nvCxnSpPr>
        <xdr:cNvPr id="23" name="Connecteur droit 22">
          <a:extLst>
            <a:ext uri="{FF2B5EF4-FFF2-40B4-BE49-F238E27FC236}">
              <a16:creationId xmlns:a16="http://schemas.microsoft.com/office/drawing/2014/main" id="{1CCB3A5E-FDA2-41EE-91CC-E7AEF3CA571B}"/>
            </a:ext>
          </a:extLst>
        </xdr:cNvPr>
        <xdr:cNvCxnSpPr/>
      </xdr:nvCxnSpPr>
      <xdr:spPr>
        <a:xfrm>
          <a:off x="8620125" y="1000125"/>
          <a:ext cx="171450" cy="3238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57150</xdr:colOff>
      <xdr:row>5</xdr:row>
      <xdr:rowOff>190500</xdr:rowOff>
    </xdr:from>
    <xdr:to>
      <xdr:col>8</xdr:col>
      <xdr:colOff>38100</xdr:colOff>
      <xdr:row>5</xdr:row>
      <xdr:rowOff>190500</xdr:rowOff>
    </xdr:to>
    <xdr:cxnSp macro="">
      <xdr:nvCxnSpPr>
        <xdr:cNvPr id="25" name="Connecteur droit 24">
          <a:extLst>
            <a:ext uri="{FF2B5EF4-FFF2-40B4-BE49-F238E27FC236}">
              <a16:creationId xmlns:a16="http://schemas.microsoft.com/office/drawing/2014/main" id="{A160E14D-BCE8-48EF-9C24-2D5D83C3B495}"/>
            </a:ext>
          </a:extLst>
        </xdr:cNvPr>
        <xdr:cNvCxnSpPr/>
      </xdr:nvCxnSpPr>
      <xdr:spPr>
        <a:xfrm flipV="1">
          <a:off x="7724775" y="1333500"/>
          <a:ext cx="10763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1000125</xdr:colOff>
      <xdr:row>7</xdr:row>
      <xdr:rowOff>209550</xdr:rowOff>
    </xdr:from>
    <xdr:to>
      <xdr:col>9</xdr:col>
      <xdr:colOff>95250</xdr:colOff>
      <xdr:row>7</xdr:row>
      <xdr:rowOff>209550</xdr:rowOff>
    </xdr:to>
    <xdr:cxnSp macro="">
      <xdr:nvCxnSpPr>
        <xdr:cNvPr id="27" name="Connecteur droit 26">
          <a:extLst>
            <a:ext uri="{FF2B5EF4-FFF2-40B4-BE49-F238E27FC236}">
              <a16:creationId xmlns:a16="http://schemas.microsoft.com/office/drawing/2014/main" id="{767710C7-7A34-496D-B70D-75685A4FBA12}"/>
            </a:ext>
          </a:extLst>
        </xdr:cNvPr>
        <xdr:cNvCxnSpPr/>
      </xdr:nvCxnSpPr>
      <xdr:spPr>
        <a:xfrm>
          <a:off x="7572375" y="1924050"/>
          <a:ext cx="23812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914400</xdr:colOff>
      <xdr:row>5</xdr:row>
      <xdr:rowOff>285750</xdr:rowOff>
    </xdr:from>
    <xdr:to>
      <xdr:col>9</xdr:col>
      <xdr:colOff>104775</xdr:colOff>
      <xdr:row>7</xdr:row>
      <xdr:rowOff>209550</xdr:rowOff>
    </xdr:to>
    <xdr:cxnSp macro="">
      <xdr:nvCxnSpPr>
        <xdr:cNvPr id="29" name="Connecteur droit 28">
          <a:extLst>
            <a:ext uri="{FF2B5EF4-FFF2-40B4-BE49-F238E27FC236}">
              <a16:creationId xmlns:a16="http://schemas.microsoft.com/office/drawing/2014/main" id="{E268F5C3-E064-4323-A0DD-2B86A75CC0AF}"/>
            </a:ext>
          </a:extLst>
        </xdr:cNvPr>
        <xdr:cNvCxnSpPr/>
      </xdr:nvCxnSpPr>
      <xdr:spPr>
        <a:xfrm>
          <a:off x="9677400" y="1428750"/>
          <a:ext cx="285750" cy="4953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885825</xdr:colOff>
      <xdr:row>7</xdr:row>
      <xdr:rowOff>180975</xdr:rowOff>
    </xdr:from>
    <xdr:to>
      <xdr:col>12</xdr:col>
      <xdr:colOff>209550</xdr:colOff>
      <xdr:row>7</xdr:row>
      <xdr:rowOff>180975</xdr:rowOff>
    </xdr:to>
    <xdr:cxnSp macro="">
      <xdr:nvCxnSpPr>
        <xdr:cNvPr id="32" name="Connecteur droit 31">
          <a:extLst>
            <a:ext uri="{FF2B5EF4-FFF2-40B4-BE49-F238E27FC236}">
              <a16:creationId xmlns:a16="http://schemas.microsoft.com/office/drawing/2014/main" id="{A0C0BA85-B123-4DAF-A996-87502A6C74CC}"/>
            </a:ext>
          </a:extLst>
        </xdr:cNvPr>
        <xdr:cNvCxnSpPr/>
      </xdr:nvCxnSpPr>
      <xdr:spPr>
        <a:xfrm>
          <a:off x="10744200" y="1895475"/>
          <a:ext cx="260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933450</xdr:colOff>
      <xdr:row>12</xdr:row>
      <xdr:rowOff>180975</xdr:rowOff>
    </xdr:from>
    <xdr:to>
      <xdr:col>5</xdr:col>
      <xdr:colOff>146700</xdr:colOff>
      <xdr:row>12</xdr:row>
      <xdr:rowOff>180975</xdr:rowOff>
    </xdr:to>
    <xdr:cxnSp macro="">
      <xdr:nvCxnSpPr>
        <xdr:cNvPr id="34" name="Connecteur droit 33">
          <a:extLst>
            <a:ext uri="{FF2B5EF4-FFF2-40B4-BE49-F238E27FC236}">
              <a16:creationId xmlns:a16="http://schemas.microsoft.com/office/drawing/2014/main" id="{88DAC11F-FB9D-4B02-9D83-EB9DA080B87D}"/>
            </a:ext>
          </a:extLst>
        </xdr:cNvPr>
        <xdr:cNvCxnSpPr/>
      </xdr:nvCxnSpPr>
      <xdr:spPr>
        <a:xfrm>
          <a:off x="4219575" y="3038475"/>
          <a:ext cx="1404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904875</xdr:colOff>
      <xdr:row>12</xdr:row>
      <xdr:rowOff>180975</xdr:rowOff>
    </xdr:from>
    <xdr:to>
      <xdr:col>7</xdr:col>
      <xdr:colOff>1054125</xdr:colOff>
      <xdr:row>12</xdr:row>
      <xdr:rowOff>180975</xdr:rowOff>
    </xdr:to>
    <xdr:cxnSp macro="">
      <xdr:nvCxnSpPr>
        <xdr:cNvPr id="35" name="Connecteur droit 34">
          <a:extLst>
            <a:ext uri="{FF2B5EF4-FFF2-40B4-BE49-F238E27FC236}">
              <a16:creationId xmlns:a16="http://schemas.microsoft.com/office/drawing/2014/main" id="{41531CA0-512F-4D37-B17B-CC59033BFCC0}"/>
            </a:ext>
          </a:extLst>
        </xdr:cNvPr>
        <xdr:cNvCxnSpPr/>
      </xdr:nvCxnSpPr>
      <xdr:spPr>
        <a:xfrm>
          <a:off x="6381750" y="3038475"/>
          <a:ext cx="2340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9525</xdr:colOff>
      <xdr:row>12</xdr:row>
      <xdr:rowOff>190500</xdr:rowOff>
    </xdr:from>
    <xdr:to>
      <xdr:col>10</xdr:col>
      <xdr:colOff>282150</xdr:colOff>
      <xdr:row>12</xdr:row>
      <xdr:rowOff>190500</xdr:rowOff>
    </xdr:to>
    <xdr:cxnSp macro="">
      <xdr:nvCxnSpPr>
        <xdr:cNvPr id="36" name="Connecteur droit 35">
          <a:extLst>
            <a:ext uri="{FF2B5EF4-FFF2-40B4-BE49-F238E27FC236}">
              <a16:creationId xmlns:a16="http://schemas.microsoft.com/office/drawing/2014/main" id="{EB7F18E0-686C-461C-A1D6-75C9267DC0A1}"/>
            </a:ext>
          </a:extLst>
        </xdr:cNvPr>
        <xdr:cNvCxnSpPr/>
      </xdr:nvCxnSpPr>
      <xdr:spPr>
        <a:xfrm>
          <a:off x="9867900" y="3048000"/>
          <a:ext cx="136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828675</xdr:colOff>
      <xdr:row>12</xdr:row>
      <xdr:rowOff>200025</xdr:rowOff>
    </xdr:from>
    <xdr:to>
      <xdr:col>11</xdr:col>
      <xdr:colOff>165300</xdr:colOff>
      <xdr:row>12</xdr:row>
      <xdr:rowOff>200025</xdr:rowOff>
    </xdr:to>
    <xdr:cxnSp macro="">
      <xdr:nvCxnSpPr>
        <xdr:cNvPr id="37" name="Connecteur droit 36">
          <a:extLst>
            <a:ext uri="{FF2B5EF4-FFF2-40B4-BE49-F238E27FC236}">
              <a16:creationId xmlns:a16="http://schemas.microsoft.com/office/drawing/2014/main" id="{4BC158F0-8C3D-400A-BE2C-7D65EFD270F8}"/>
            </a:ext>
          </a:extLst>
        </xdr:cNvPr>
        <xdr:cNvCxnSpPr/>
      </xdr:nvCxnSpPr>
      <xdr:spPr>
        <a:xfrm>
          <a:off x="11782425" y="3057525"/>
          <a:ext cx="432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962025</xdr:colOff>
      <xdr:row>12</xdr:row>
      <xdr:rowOff>200025</xdr:rowOff>
    </xdr:from>
    <xdr:to>
      <xdr:col>14</xdr:col>
      <xdr:colOff>159900</xdr:colOff>
      <xdr:row>12</xdr:row>
      <xdr:rowOff>200025</xdr:rowOff>
    </xdr:to>
    <xdr:cxnSp macro="">
      <xdr:nvCxnSpPr>
        <xdr:cNvPr id="38" name="Connecteur droit 37">
          <a:extLst>
            <a:ext uri="{FF2B5EF4-FFF2-40B4-BE49-F238E27FC236}">
              <a16:creationId xmlns:a16="http://schemas.microsoft.com/office/drawing/2014/main" id="{173E4560-2253-4B1C-AD4B-9903CFF4DE99}"/>
            </a:ext>
          </a:extLst>
        </xdr:cNvPr>
        <xdr:cNvCxnSpPr/>
      </xdr:nvCxnSpPr>
      <xdr:spPr>
        <a:xfrm>
          <a:off x="13011150" y="3057525"/>
          <a:ext cx="2484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962025</xdr:colOff>
      <xdr:row>7</xdr:row>
      <xdr:rowOff>190500</xdr:rowOff>
    </xdr:from>
    <xdr:to>
      <xdr:col>12</xdr:col>
      <xdr:colOff>219075</xdr:colOff>
      <xdr:row>12</xdr:row>
      <xdr:rowOff>200025</xdr:rowOff>
    </xdr:to>
    <xdr:cxnSp macro="">
      <xdr:nvCxnSpPr>
        <xdr:cNvPr id="39" name="Connecteur droit 38">
          <a:extLst>
            <a:ext uri="{FF2B5EF4-FFF2-40B4-BE49-F238E27FC236}">
              <a16:creationId xmlns:a16="http://schemas.microsoft.com/office/drawing/2014/main" id="{B90AF259-18DC-4565-8D41-9F784A113D34}"/>
            </a:ext>
          </a:extLst>
        </xdr:cNvPr>
        <xdr:cNvCxnSpPr/>
      </xdr:nvCxnSpPr>
      <xdr:spPr>
        <a:xfrm flipV="1">
          <a:off x="13011150" y="1905000"/>
          <a:ext cx="352425" cy="1152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38100</xdr:colOff>
      <xdr:row>18</xdr:row>
      <xdr:rowOff>104775</xdr:rowOff>
    </xdr:from>
    <xdr:to>
      <xdr:col>8</xdr:col>
      <xdr:colOff>123825</xdr:colOff>
      <xdr:row>18</xdr:row>
      <xdr:rowOff>104775</xdr:rowOff>
    </xdr:to>
    <xdr:cxnSp macro="">
      <xdr:nvCxnSpPr>
        <xdr:cNvPr id="41" name="Connecteur droit 40">
          <a:extLst>
            <a:ext uri="{FF2B5EF4-FFF2-40B4-BE49-F238E27FC236}">
              <a16:creationId xmlns:a16="http://schemas.microsoft.com/office/drawing/2014/main" id="{99112695-02C0-43A9-8D9B-F9C0D394B5F0}"/>
            </a:ext>
          </a:extLst>
        </xdr:cNvPr>
        <xdr:cNvCxnSpPr/>
      </xdr:nvCxnSpPr>
      <xdr:spPr>
        <a:xfrm>
          <a:off x="6610350" y="4505325"/>
          <a:ext cx="2276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847725</xdr:colOff>
      <xdr:row>16</xdr:row>
      <xdr:rowOff>104775</xdr:rowOff>
    </xdr:from>
    <xdr:to>
      <xdr:col>8</xdr:col>
      <xdr:colOff>133350</xdr:colOff>
      <xdr:row>18</xdr:row>
      <xdr:rowOff>104775</xdr:rowOff>
    </xdr:to>
    <xdr:cxnSp macro="">
      <xdr:nvCxnSpPr>
        <xdr:cNvPr id="43" name="Connecteur droit 42">
          <a:extLst>
            <a:ext uri="{FF2B5EF4-FFF2-40B4-BE49-F238E27FC236}">
              <a16:creationId xmlns:a16="http://schemas.microsoft.com/office/drawing/2014/main" id="{F04C9E40-D966-4972-9209-7EBF5A34F9BD}"/>
            </a:ext>
          </a:extLst>
        </xdr:cNvPr>
        <xdr:cNvCxnSpPr/>
      </xdr:nvCxnSpPr>
      <xdr:spPr>
        <a:xfrm>
          <a:off x="8515350" y="4124325"/>
          <a:ext cx="381000" cy="3810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676275</xdr:colOff>
      <xdr:row>16</xdr:row>
      <xdr:rowOff>114300</xdr:rowOff>
    </xdr:from>
    <xdr:to>
      <xdr:col>7</xdr:col>
      <xdr:colOff>234150</xdr:colOff>
      <xdr:row>16</xdr:row>
      <xdr:rowOff>114300</xdr:rowOff>
    </xdr:to>
    <xdr:cxnSp macro="">
      <xdr:nvCxnSpPr>
        <xdr:cNvPr id="45" name="Connecteur droit 44">
          <a:extLst>
            <a:ext uri="{FF2B5EF4-FFF2-40B4-BE49-F238E27FC236}">
              <a16:creationId xmlns:a16="http://schemas.microsoft.com/office/drawing/2014/main" id="{B7AAFA84-7CE5-4D75-93B8-34B9C9F631F4}"/>
            </a:ext>
          </a:extLst>
        </xdr:cNvPr>
        <xdr:cNvCxnSpPr/>
      </xdr:nvCxnSpPr>
      <xdr:spPr>
        <a:xfrm>
          <a:off x="5057775" y="3924300"/>
          <a:ext cx="2844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857250</xdr:colOff>
      <xdr:row>16</xdr:row>
      <xdr:rowOff>104775</xdr:rowOff>
    </xdr:from>
    <xdr:to>
      <xdr:col>10</xdr:col>
      <xdr:colOff>271125</xdr:colOff>
      <xdr:row>16</xdr:row>
      <xdr:rowOff>104775</xdr:rowOff>
    </xdr:to>
    <xdr:cxnSp macro="">
      <xdr:nvCxnSpPr>
        <xdr:cNvPr id="46" name="Connecteur droit 45">
          <a:extLst>
            <a:ext uri="{FF2B5EF4-FFF2-40B4-BE49-F238E27FC236}">
              <a16:creationId xmlns:a16="http://schemas.microsoft.com/office/drawing/2014/main" id="{864C7B93-6FB3-4200-AC88-08979B9DD4B3}"/>
            </a:ext>
          </a:extLst>
        </xdr:cNvPr>
        <xdr:cNvCxnSpPr/>
      </xdr:nvCxnSpPr>
      <xdr:spPr>
        <a:xfrm>
          <a:off x="8524875" y="3914775"/>
          <a:ext cx="2700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866775</xdr:colOff>
      <xdr:row>14</xdr:row>
      <xdr:rowOff>104775</xdr:rowOff>
    </xdr:from>
    <xdr:to>
      <xdr:col>9</xdr:col>
      <xdr:colOff>171450</xdr:colOff>
      <xdr:row>16</xdr:row>
      <xdr:rowOff>104775</xdr:rowOff>
    </xdr:to>
    <xdr:cxnSp macro="">
      <xdr:nvCxnSpPr>
        <xdr:cNvPr id="47" name="Connecteur droit 46">
          <a:extLst>
            <a:ext uri="{FF2B5EF4-FFF2-40B4-BE49-F238E27FC236}">
              <a16:creationId xmlns:a16="http://schemas.microsoft.com/office/drawing/2014/main" id="{616CA359-819E-4C62-85C9-0712436688F1}"/>
            </a:ext>
          </a:extLst>
        </xdr:cNvPr>
        <xdr:cNvCxnSpPr/>
      </xdr:nvCxnSpPr>
      <xdr:spPr>
        <a:xfrm flipV="1">
          <a:off x="8534400" y="3533775"/>
          <a:ext cx="1495425" cy="3810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9525</xdr:colOff>
      <xdr:row>12</xdr:row>
      <xdr:rowOff>190500</xdr:rowOff>
    </xdr:from>
    <xdr:to>
      <xdr:col>9</xdr:col>
      <xdr:colOff>180975</xdr:colOff>
      <xdr:row>14</xdr:row>
      <xdr:rowOff>104775</xdr:rowOff>
    </xdr:to>
    <xdr:cxnSp macro="">
      <xdr:nvCxnSpPr>
        <xdr:cNvPr id="49" name="Connecteur droit 48">
          <a:extLst>
            <a:ext uri="{FF2B5EF4-FFF2-40B4-BE49-F238E27FC236}">
              <a16:creationId xmlns:a16="http://schemas.microsoft.com/office/drawing/2014/main" id="{80EA1348-DBE5-430C-93F9-6EF4296DFE56}"/>
            </a:ext>
          </a:extLst>
        </xdr:cNvPr>
        <xdr:cNvCxnSpPr/>
      </xdr:nvCxnSpPr>
      <xdr:spPr>
        <a:xfrm>
          <a:off x="9867900" y="3048000"/>
          <a:ext cx="171450" cy="4857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838200</xdr:colOff>
      <xdr:row>16</xdr:row>
      <xdr:rowOff>104775</xdr:rowOff>
    </xdr:from>
    <xdr:to>
      <xdr:col>13</xdr:col>
      <xdr:colOff>108075</xdr:colOff>
      <xdr:row>16</xdr:row>
      <xdr:rowOff>104775</xdr:rowOff>
    </xdr:to>
    <xdr:cxnSp macro="">
      <xdr:nvCxnSpPr>
        <xdr:cNvPr id="53" name="Connecteur droit 52">
          <a:extLst>
            <a:ext uri="{FF2B5EF4-FFF2-40B4-BE49-F238E27FC236}">
              <a16:creationId xmlns:a16="http://schemas.microsoft.com/office/drawing/2014/main" id="{C907FAB6-CFBD-4A6C-99E6-7340E8735CB5}"/>
            </a:ext>
          </a:extLst>
        </xdr:cNvPr>
        <xdr:cNvCxnSpPr/>
      </xdr:nvCxnSpPr>
      <xdr:spPr>
        <a:xfrm>
          <a:off x="11791950" y="3914775"/>
          <a:ext cx="2556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933450</xdr:colOff>
      <xdr:row>12</xdr:row>
      <xdr:rowOff>200025</xdr:rowOff>
    </xdr:from>
    <xdr:to>
      <xdr:col>10</xdr:col>
      <xdr:colOff>276225</xdr:colOff>
      <xdr:row>14</xdr:row>
      <xdr:rowOff>114300</xdr:rowOff>
    </xdr:to>
    <xdr:cxnSp macro="">
      <xdr:nvCxnSpPr>
        <xdr:cNvPr id="54" name="Connecteur droit 53">
          <a:extLst>
            <a:ext uri="{FF2B5EF4-FFF2-40B4-BE49-F238E27FC236}">
              <a16:creationId xmlns:a16="http://schemas.microsoft.com/office/drawing/2014/main" id="{C8EB3C88-7F04-46C3-99D7-DF50468CC96D}"/>
            </a:ext>
          </a:extLst>
        </xdr:cNvPr>
        <xdr:cNvCxnSpPr/>
      </xdr:nvCxnSpPr>
      <xdr:spPr>
        <a:xfrm flipV="1">
          <a:off x="10791825" y="3057525"/>
          <a:ext cx="438150" cy="4857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971550</xdr:colOff>
      <xdr:row>14</xdr:row>
      <xdr:rowOff>104775</xdr:rowOff>
    </xdr:from>
    <xdr:to>
      <xdr:col>3</xdr:col>
      <xdr:colOff>38100</xdr:colOff>
      <xdr:row>22</xdr:row>
      <xdr:rowOff>314325</xdr:rowOff>
    </xdr:to>
    <xdr:cxnSp macro="">
      <xdr:nvCxnSpPr>
        <xdr:cNvPr id="57" name="Connecteur droit 56">
          <a:extLst>
            <a:ext uri="{FF2B5EF4-FFF2-40B4-BE49-F238E27FC236}">
              <a16:creationId xmlns:a16="http://schemas.microsoft.com/office/drawing/2014/main" id="{7C06CF8E-4AAA-46E4-89B5-6673A92367E8}"/>
            </a:ext>
          </a:extLst>
        </xdr:cNvPr>
        <xdr:cNvCxnSpPr/>
      </xdr:nvCxnSpPr>
      <xdr:spPr>
        <a:xfrm>
          <a:off x="3162300" y="3533775"/>
          <a:ext cx="161925" cy="2114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657225</xdr:colOff>
      <xdr:row>16</xdr:row>
      <xdr:rowOff>114300</xdr:rowOff>
    </xdr:from>
    <xdr:to>
      <xdr:col>5</xdr:col>
      <xdr:colOff>219075</xdr:colOff>
      <xdr:row>22</xdr:row>
      <xdr:rowOff>304800</xdr:rowOff>
    </xdr:to>
    <xdr:cxnSp macro="">
      <xdr:nvCxnSpPr>
        <xdr:cNvPr id="59" name="Connecteur droit 58">
          <a:extLst>
            <a:ext uri="{FF2B5EF4-FFF2-40B4-BE49-F238E27FC236}">
              <a16:creationId xmlns:a16="http://schemas.microsoft.com/office/drawing/2014/main" id="{840032C3-5B43-4229-AD79-F9305CEB236F}"/>
            </a:ext>
          </a:extLst>
        </xdr:cNvPr>
        <xdr:cNvCxnSpPr/>
      </xdr:nvCxnSpPr>
      <xdr:spPr>
        <a:xfrm>
          <a:off x="5038725" y="3924300"/>
          <a:ext cx="657225" cy="17145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876300</xdr:colOff>
      <xdr:row>22</xdr:row>
      <xdr:rowOff>295275</xdr:rowOff>
    </xdr:from>
    <xdr:to>
      <xdr:col>8</xdr:col>
      <xdr:colOff>74175</xdr:colOff>
      <xdr:row>22</xdr:row>
      <xdr:rowOff>295275</xdr:rowOff>
    </xdr:to>
    <xdr:cxnSp macro="">
      <xdr:nvCxnSpPr>
        <xdr:cNvPr id="61" name="Connecteur droit 60">
          <a:extLst>
            <a:ext uri="{FF2B5EF4-FFF2-40B4-BE49-F238E27FC236}">
              <a16:creationId xmlns:a16="http://schemas.microsoft.com/office/drawing/2014/main" id="{A46788FA-F5DB-4A59-823F-744A8A8DD0D3}"/>
            </a:ext>
          </a:extLst>
        </xdr:cNvPr>
        <xdr:cNvCxnSpPr/>
      </xdr:nvCxnSpPr>
      <xdr:spPr>
        <a:xfrm>
          <a:off x="6353175" y="5457825"/>
          <a:ext cx="2484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1038225</xdr:colOff>
      <xdr:row>22</xdr:row>
      <xdr:rowOff>314325</xdr:rowOff>
    </xdr:from>
    <xdr:to>
      <xdr:col>11</xdr:col>
      <xdr:colOff>164100</xdr:colOff>
      <xdr:row>22</xdr:row>
      <xdr:rowOff>314325</xdr:rowOff>
    </xdr:to>
    <xdr:cxnSp macro="">
      <xdr:nvCxnSpPr>
        <xdr:cNvPr id="62" name="Connecteur droit 61">
          <a:extLst>
            <a:ext uri="{FF2B5EF4-FFF2-40B4-BE49-F238E27FC236}">
              <a16:creationId xmlns:a16="http://schemas.microsoft.com/office/drawing/2014/main" id="{C539786C-76B1-4731-B247-368D8FB7B194}"/>
            </a:ext>
          </a:extLst>
        </xdr:cNvPr>
        <xdr:cNvCxnSpPr/>
      </xdr:nvCxnSpPr>
      <xdr:spPr>
        <a:xfrm>
          <a:off x="9801225" y="5648325"/>
          <a:ext cx="2412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1038225</xdr:colOff>
      <xdr:row>22</xdr:row>
      <xdr:rowOff>314325</xdr:rowOff>
    </xdr:from>
    <xdr:to>
      <xdr:col>6</xdr:col>
      <xdr:colOff>133350</xdr:colOff>
      <xdr:row>26</xdr:row>
      <xdr:rowOff>209550</xdr:rowOff>
    </xdr:to>
    <xdr:cxnSp macro="">
      <xdr:nvCxnSpPr>
        <xdr:cNvPr id="66" name="Connecteur droit 65">
          <a:extLst>
            <a:ext uri="{FF2B5EF4-FFF2-40B4-BE49-F238E27FC236}">
              <a16:creationId xmlns:a16="http://schemas.microsoft.com/office/drawing/2014/main" id="{033F9AE4-F70B-4FC2-B47C-A5DF1230BAFE}"/>
            </a:ext>
          </a:extLst>
        </xdr:cNvPr>
        <xdr:cNvCxnSpPr/>
      </xdr:nvCxnSpPr>
      <xdr:spPr>
        <a:xfrm>
          <a:off x="4324350" y="5648325"/>
          <a:ext cx="2381250" cy="10382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1038225</xdr:colOff>
      <xdr:row>22</xdr:row>
      <xdr:rowOff>314325</xdr:rowOff>
    </xdr:from>
    <xdr:to>
      <xdr:col>5</xdr:col>
      <xdr:colOff>215475</xdr:colOff>
      <xdr:row>22</xdr:row>
      <xdr:rowOff>314325</xdr:rowOff>
    </xdr:to>
    <xdr:cxnSp macro="">
      <xdr:nvCxnSpPr>
        <xdr:cNvPr id="68" name="Connecteur droit 67">
          <a:extLst>
            <a:ext uri="{FF2B5EF4-FFF2-40B4-BE49-F238E27FC236}">
              <a16:creationId xmlns:a16="http://schemas.microsoft.com/office/drawing/2014/main" id="{25BAD6AB-107E-4E8A-BCC0-BEA1F92D8B2A}"/>
            </a:ext>
          </a:extLst>
        </xdr:cNvPr>
        <xdr:cNvCxnSpPr/>
      </xdr:nvCxnSpPr>
      <xdr:spPr>
        <a:xfrm flipV="1">
          <a:off x="4324350" y="5648325"/>
          <a:ext cx="136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952500</xdr:colOff>
      <xdr:row>26</xdr:row>
      <xdr:rowOff>209550</xdr:rowOff>
    </xdr:from>
    <xdr:to>
      <xdr:col>9</xdr:col>
      <xdr:colOff>114375</xdr:colOff>
      <xdr:row>26</xdr:row>
      <xdr:rowOff>209550</xdr:rowOff>
    </xdr:to>
    <xdr:cxnSp macro="">
      <xdr:nvCxnSpPr>
        <xdr:cNvPr id="70" name="Connecteur droit 69">
          <a:extLst>
            <a:ext uri="{FF2B5EF4-FFF2-40B4-BE49-F238E27FC236}">
              <a16:creationId xmlns:a16="http://schemas.microsoft.com/office/drawing/2014/main" id="{C494E527-A75E-4266-A7CB-B902C4077077}"/>
            </a:ext>
          </a:extLst>
        </xdr:cNvPr>
        <xdr:cNvCxnSpPr/>
      </xdr:nvCxnSpPr>
      <xdr:spPr>
        <a:xfrm flipV="1">
          <a:off x="7524750" y="6686550"/>
          <a:ext cx="244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962025</xdr:colOff>
      <xdr:row>26</xdr:row>
      <xdr:rowOff>219075</xdr:rowOff>
    </xdr:from>
    <xdr:to>
      <xdr:col>12</xdr:col>
      <xdr:colOff>15900</xdr:colOff>
      <xdr:row>26</xdr:row>
      <xdr:rowOff>219075</xdr:rowOff>
    </xdr:to>
    <xdr:cxnSp macro="">
      <xdr:nvCxnSpPr>
        <xdr:cNvPr id="71" name="Connecteur droit 70">
          <a:extLst>
            <a:ext uri="{FF2B5EF4-FFF2-40B4-BE49-F238E27FC236}">
              <a16:creationId xmlns:a16="http://schemas.microsoft.com/office/drawing/2014/main" id="{2E81F46A-9D1E-48C7-A696-701A3C3DA09A}"/>
            </a:ext>
          </a:extLst>
        </xdr:cNvPr>
        <xdr:cNvCxnSpPr/>
      </xdr:nvCxnSpPr>
      <xdr:spPr>
        <a:xfrm flipV="1">
          <a:off x="10820400" y="6696075"/>
          <a:ext cx="2340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857250</xdr:colOff>
      <xdr:row>16</xdr:row>
      <xdr:rowOff>114300</xdr:rowOff>
    </xdr:from>
    <xdr:to>
      <xdr:col>8</xdr:col>
      <xdr:colOff>82261</xdr:colOff>
      <xdr:row>22</xdr:row>
      <xdr:rowOff>298739</xdr:rowOff>
    </xdr:to>
    <xdr:cxnSp macro="">
      <xdr:nvCxnSpPr>
        <xdr:cNvPr id="50" name="Connecteur droit 49">
          <a:extLst>
            <a:ext uri="{FF2B5EF4-FFF2-40B4-BE49-F238E27FC236}">
              <a16:creationId xmlns:a16="http://schemas.microsoft.com/office/drawing/2014/main" id="{F0D8913B-3379-43C7-AD30-9E2876F99FD8}"/>
            </a:ext>
          </a:extLst>
        </xdr:cNvPr>
        <xdr:cNvCxnSpPr/>
      </xdr:nvCxnSpPr>
      <xdr:spPr>
        <a:xfrm>
          <a:off x="8524875" y="4132118"/>
          <a:ext cx="320386" cy="132743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838200</xdr:colOff>
      <xdr:row>16</xdr:row>
      <xdr:rowOff>104775</xdr:rowOff>
    </xdr:from>
    <xdr:to>
      <xdr:col>11</xdr:col>
      <xdr:colOff>161925</xdr:colOff>
      <xdr:row>22</xdr:row>
      <xdr:rowOff>314325</xdr:rowOff>
    </xdr:to>
    <xdr:cxnSp macro="">
      <xdr:nvCxnSpPr>
        <xdr:cNvPr id="40" name="Connecteur droit 39">
          <a:extLst>
            <a:ext uri="{FF2B5EF4-FFF2-40B4-BE49-F238E27FC236}">
              <a16:creationId xmlns:a16="http://schemas.microsoft.com/office/drawing/2014/main" id="{0051E011-FE45-4153-833D-350B16967DDC}"/>
            </a:ext>
          </a:extLst>
        </xdr:cNvPr>
        <xdr:cNvCxnSpPr/>
      </xdr:nvCxnSpPr>
      <xdr:spPr>
        <a:xfrm>
          <a:off x="11791950" y="4124325"/>
          <a:ext cx="419100" cy="1733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657225</xdr:colOff>
      <xdr:row>16</xdr:row>
      <xdr:rowOff>114300</xdr:rowOff>
    </xdr:from>
    <xdr:to>
      <xdr:col>5</xdr:col>
      <xdr:colOff>9525</xdr:colOff>
      <xdr:row>18</xdr:row>
      <xdr:rowOff>104775</xdr:rowOff>
    </xdr:to>
    <xdr:cxnSp macro="">
      <xdr:nvCxnSpPr>
        <xdr:cNvPr id="44" name="Connecteur droit 43">
          <a:extLst>
            <a:ext uri="{FF2B5EF4-FFF2-40B4-BE49-F238E27FC236}">
              <a16:creationId xmlns:a16="http://schemas.microsoft.com/office/drawing/2014/main" id="{7B531B8B-DC91-42E4-BDD1-AF226D457AC1}"/>
            </a:ext>
          </a:extLst>
        </xdr:cNvPr>
        <xdr:cNvCxnSpPr/>
      </xdr:nvCxnSpPr>
      <xdr:spPr>
        <a:xfrm>
          <a:off x="5038725" y="4133850"/>
          <a:ext cx="447675" cy="3714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114300</xdr:rowOff>
    </xdr:from>
    <xdr:to>
      <xdr:col>3</xdr:col>
      <xdr:colOff>342900</xdr:colOff>
      <xdr:row>2</xdr:row>
      <xdr:rowOff>123825</xdr:rowOff>
    </xdr:to>
    <xdr:cxnSp macro="">
      <xdr:nvCxnSpPr>
        <xdr:cNvPr id="3" name="Connecteur droit avec flèche 2">
          <a:extLst>
            <a:ext uri="{FF2B5EF4-FFF2-40B4-BE49-F238E27FC236}">
              <a16:creationId xmlns:a16="http://schemas.microsoft.com/office/drawing/2014/main" id="{E154E58F-5672-E1B3-C443-61CE0F63E406}"/>
            </a:ext>
          </a:extLst>
        </xdr:cNvPr>
        <xdr:cNvCxnSpPr/>
      </xdr:nvCxnSpPr>
      <xdr:spPr>
        <a:xfrm>
          <a:off x="2619375" y="314325"/>
          <a:ext cx="1695450" cy="9525"/>
        </a:xfrm>
        <a:prstGeom prst="straightConnector1">
          <a:avLst/>
        </a:prstGeom>
        <a:ln>
          <a:headEnd type="triangle"/>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657225</xdr:colOff>
      <xdr:row>2</xdr:row>
      <xdr:rowOff>114300</xdr:rowOff>
    </xdr:from>
    <xdr:to>
      <xdr:col>5</xdr:col>
      <xdr:colOff>438150</xdr:colOff>
      <xdr:row>2</xdr:row>
      <xdr:rowOff>123825</xdr:rowOff>
    </xdr:to>
    <xdr:cxnSp macro="">
      <xdr:nvCxnSpPr>
        <xdr:cNvPr id="5" name="Connecteur droit avec flèche 4">
          <a:extLst>
            <a:ext uri="{FF2B5EF4-FFF2-40B4-BE49-F238E27FC236}">
              <a16:creationId xmlns:a16="http://schemas.microsoft.com/office/drawing/2014/main" id="{12E33B24-29F7-EF73-F036-5578209505A1}"/>
            </a:ext>
          </a:extLst>
        </xdr:cNvPr>
        <xdr:cNvCxnSpPr/>
      </xdr:nvCxnSpPr>
      <xdr:spPr>
        <a:xfrm>
          <a:off x="5114925" y="314325"/>
          <a:ext cx="1524000" cy="9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695325</xdr:colOff>
      <xdr:row>9</xdr:row>
      <xdr:rowOff>123825</xdr:rowOff>
    </xdr:from>
    <xdr:to>
      <xdr:col>7</xdr:col>
      <xdr:colOff>447675</xdr:colOff>
      <xdr:row>16</xdr:row>
      <xdr:rowOff>104775</xdr:rowOff>
    </xdr:to>
    <xdr:cxnSp macro="">
      <xdr:nvCxnSpPr>
        <xdr:cNvPr id="6" name="Connecteur droit avec flèche 5">
          <a:extLst>
            <a:ext uri="{FF2B5EF4-FFF2-40B4-BE49-F238E27FC236}">
              <a16:creationId xmlns:a16="http://schemas.microsoft.com/office/drawing/2014/main" id="{2E40685A-72B8-46E7-A186-E8B62F46F85D}"/>
            </a:ext>
          </a:extLst>
        </xdr:cNvPr>
        <xdr:cNvCxnSpPr/>
      </xdr:nvCxnSpPr>
      <xdr:spPr>
        <a:xfrm flipV="1">
          <a:off x="5153025" y="923925"/>
          <a:ext cx="3724275" cy="13811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704850</xdr:colOff>
      <xdr:row>11</xdr:row>
      <xdr:rowOff>104775</xdr:rowOff>
    </xdr:from>
    <xdr:to>
      <xdr:col>7</xdr:col>
      <xdr:colOff>447675</xdr:colOff>
      <xdr:row>16</xdr:row>
      <xdr:rowOff>104775</xdr:rowOff>
    </xdr:to>
    <xdr:cxnSp macro="">
      <xdr:nvCxnSpPr>
        <xdr:cNvPr id="8" name="Connecteur droit avec flèche 7">
          <a:extLst>
            <a:ext uri="{FF2B5EF4-FFF2-40B4-BE49-F238E27FC236}">
              <a16:creationId xmlns:a16="http://schemas.microsoft.com/office/drawing/2014/main" id="{F3DA387A-CDE3-4371-90C3-F595F6E4CCBE}"/>
            </a:ext>
          </a:extLst>
        </xdr:cNvPr>
        <xdr:cNvCxnSpPr/>
      </xdr:nvCxnSpPr>
      <xdr:spPr>
        <a:xfrm flipV="1">
          <a:off x="5162550" y="1304925"/>
          <a:ext cx="3714750" cy="10001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685800</xdr:colOff>
      <xdr:row>13</xdr:row>
      <xdr:rowOff>95250</xdr:rowOff>
    </xdr:from>
    <xdr:to>
      <xdr:col>7</xdr:col>
      <xdr:colOff>428625</xdr:colOff>
      <xdr:row>16</xdr:row>
      <xdr:rowOff>133350</xdr:rowOff>
    </xdr:to>
    <xdr:cxnSp macro="">
      <xdr:nvCxnSpPr>
        <xdr:cNvPr id="9" name="Connecteur droit avec flèche 8">
          <a:extLst>
            <a:ext uri="{FF2B5EF4-FFF2-40B4-BE49-F238E27FC236}">
              <a16:creationId xmlns:a16="http://schemas.microsoft.com/office/drawing/2014/main" id="{CABC4BAD-7B96-4B6C-BA2B-1742AACAFF0A}"/>
            </a:ext>
          </a:extLst>
        </xdr:cNvPr>
        <xdr:cNvCxnSpPr/>
      </xdr:nvCxnSpPr>
      <xdr:spPr>
        <a:xfrm flipV="1">
          <a:off x="5143500" y="1695450"/>
          <a:ext cx="3714750" cy="63817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6</xdr:col>
      <xdr:colOff>1428750</xdr:colOff>
      <xdr:row>11</xdr:row>
      <xdr:rowOff>114300</xdr:rowOff>
    </xdr:from>
    <xdr:to>
      <xdr:col>7</xdr:col>
      <xdr:colOff>400050</xdr:colOff>
      <xdr:row>19</xdr:row>
      <xdr:rowOff>123825</xdr:rowOff>
    </xdr:to>
    <xdr:cxnSp macro="">
      <xdr:nvCxnSpPr>
        <xdr:cNvPr id="10" name="Connecteur droit avec flèche 9">
          <a:extLst>
            <a:ext uri="{FF2B5EF4-FFF2-40B4-BE49-F238E27FC236}">
              <a16:creationId xmlns:a16="http://schemas.microsoft.com/office/drawing/2014/main" id="{C6071BD9-FBD7-40A1-9781-5BBA6144685C}"/>
            </a:ext>
          </a:extLst>
        </xdr:cNvPr>
        <xdr:cNvCxnSpPr/>
      </xdr:nvCxnSpPr>
      <xdr:spPr>
        <a:xfrm flipV="1">
          <a:off x="8115300" y="1314450"/>
          <a:ext cx="714375" cy="16097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704850</xdr:colOff>
      <xdr:row>15</xdr:row>
      <xdr:rowOff>85725</xdr:rowOff>
    </xdr:from>
    <xdr:to>
      <xdr:col>7</xdr:col>
      <xdr:colOff>428625</xdr:colOff>
      <xdr:row>16</xdr:row>
      <xdr:rowOff>142875</xdr:rowOff>
    </xdr:to>
    <xdr:cxnSp macro="">
      <xdr:nvCxnSpPr>
        <xdr:cNvPr id="11" name="Connecteur droit avec flèche 10">
          <a:extLst>
            <a:ext uri="{FF2B5EF4-FFF2-40B4-BE49-F238E27FC236}">
              <a16:creationId xmlns:a16="http://schemas.microsoft.com/office/drawing/2014/main" id="{61EFA980-3220-4591-AFD6-1A98D740CAE7}"/>
            </a:ext>
          </a:extLst>
        </xdr:cNvPr>
        <xdr:cNvCxnSpPr/>
      </xdr:nvCxnSpPr>
      <xdr:spPr>
        <a:xfrm flipV="1">
          <a:off x="5162550" y="2085975"/>
          <a:ext cx="3695700" cy="25717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6</xdr:col>
      <xdr:colOff>1428750</xdr:colOff>
      <xdr:row>19</xdr:row>
      <xdr:rowOff>114300</xdr:rowOff>
    </xdr:from>
    <xdr:to>
      <xdr:col>7</xdr:col>
      <xdr:colOff>428625</xdr:colOff>
      <xdr:row>19</xdr:row>
      <xdr:rowOff>123825</xdr:rowOff>
    </xdr:to>
    <xdr:cxnSp macro="">
      <xdr:nvCxnSpPr>
        <xdr:cNvPr id="19" name="Connecteur droit avec flèche 18">
          <a:extLst>
            <a:ext uri="{FF2B5EF4-FFF2-40B4-BE49-F238E27FC236}">
              <a16:creationId xmlns:a16="http://schemas.microsoft.com/office/drawing/2014/main" id="{3ED025A8-A82B-4964-8F82-BF9A62D91F52}"/>
            </a:ext>
          </a:extLst>
        </xdr:cNvPr>
        <xdr:cNvCxnSpPr/>
      </xdr:nvCxnSpPr>
      <xdr:spPr>
        <a:xfrm flipV="1">
          <a:off x="8115300" y="2914650"/>
          <a:ext cx="742950" cy="9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6</xdr:col>
      <xdr:colOff>1447800</xdr:colOff>
      <xdr:row>15</xdr:row>
      <xdr:rowOff>104775</xdr:rowOff>
    </xdr:from>
    <xdr:to>
      <xdr:col>7</xdr:col>
      <xdr:colOff>419100</xdr:colOff>
      <xdr:row>19</xdr:row>
      <xdr:rowOff>95250</xdr:rowOff>
    </xdr:to>
    <xdr:cxnSp macro="">
      <xdr:nvCxnSpPr>
        <xdr:cNvPr id="22" name="Connecteur droit avec flèche 21">
          <a:extLst>
            <a:ext uri="{FF2B5EF4-FFF2-40B4-BE49-F238E27FC236}">
              <a16:creationId xmlns:a16="http://schemas.microsoft.com/office/drawing/2014/main" id="{BB1D02A8-B222-435A-BB0F-65285294D353}"/>
            </a:ext>
          </a:extLst>
        </xdr:cNvPr>
        <xdr:cNvCxnSpPr/>
      </xdr:nvCxnSpPr>
      <xdr:spPr>
        <a:xfrm flipV="1">
          <a:off x="8134350" y="2105025"/>
          <a:ext cx="714375" cy="79057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1666875</xdr:colOff>
      <xdr:row>9</xdr:row>
      <xdr:rowOff>123825</xdr:rowOff>
    </xdr:from>
    <xdr:to>
      <xdr:col>7</xdr:col>
      <xdr:colOff>438150</xdr:colOff>
      <xdr:row>19</xdr:row>
      <xdr:rowOff>114300</xdr:rowOff>
    </xdr:to>
    <xdr:cxnSp macro="">
      <xdr:nvCxnSpPr>
        <xdr:cNvPr id="25" name="Connecteur droit avec flèche 24">
          <a:extLst>
            <a:ext uri="{FF2B5EF4-FFF2-40B4-BE49-F238E27FC236}">
              <a16:creationId xmlns:a16="http://schemas.microsoft.com/office/drawing/2014/main" id="{FD8B9DD5-DF62-4428-B86C-FBD85436A08E}"/>
            </a:ext>
          </a:extLst>
        </xdr:cNvPr>
        <xdr:cNvCxnSpPr/>
      </xdr:nvCxnSpPr>
      <xdr:spPr>
        <a:xfrm flipV="1">
          <a:off x="6124575" y="923925"/>
          <a:ext cx="2743200" cy="19907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1657350</xdr:colOff>
      <xdr:row>13</xdr:row>
      <xdr:rowOff>104775</xdr:rowOff>
    </xdr:from>
    <xdr:to>
      <xdr:col>7</xdr:col>
      <xdr:colOff>400050</xdr:colOff>
      <xdr:row>19</xdr:row>
      <xdr:rowOff>133350</xdr:rowOff>
    </xdr:to>
    <xdr:cxnSp macro="">
      <xdr:nvCxnSpPr>
        <xdr:cNvPr id="27" name="Connecteur droit avec flèche 26">
          <a:extLst>
            <a:ext uri="{FF2B5EF4-FFF2-40B4-BE49-F238E27FC236}">
              <a16:creationId xmlns:a16="http://schemas.microsoft.com/office/drawing/2014/main" id="{F7F7CFA3-8A26-4A2D-9E75-7D946D6D3E76}"/>
            </a:ext>
          </a:extLst>
        </xdr:cNvPr>
        <xdr:cNvCxnSpPr/>
      </xdr:nvCxnSpPr>
      <xdr:spPr>
        <a:xfrm flipV="1">
          <a:off x="6115050" y="1704975"/>
          <a:ext cx="2714625" cy="12287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6</xdr:col>
      <xdr:colOff>1419225</xdr:colOff>
      <xdr:row>19</xdr:row>
      <xdr:rowOff>114300</xdr:rowOff>
    </xdr:from>
    <xdr:to>
      <xdr:col>7</xdr:col>
      <xdr:colOff>447675</xdr:colOff>
      <xdr:row>21</xdr:row>
      <xdr:rowOff>104775</xdr:rowOff>
    </xdr:to>
    <xdr:cxnSp macro="">
      <xdr:nvCxnSpPr>
        <xdr:cNvPr id="30" name="Connecteur droit avec flèche 29">
          <a:extLst>
            <a:ext uri="{FF2B5EF4-FFF2-40B4-BE49-F238E27FC236}">
              <a16:creationId xmlns:a16="http://schemas.microsoft.com/office/drawing/2014/main" id="{0C606BCA-E869-4262-ACAC-4786C6CF6C04}"/>
            </a:ext>
          </a:extLst>
        </xdr:cNvPr>
        <xdr:cNvCxnSpPr/>
      </xdr:nvCxnSpPr>
      <xdr:spPr>
        <a:xfrm>
          <a:off x="8105775" y="2914650"/>
          <a:ext cx="771525" cy="390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6</xdr:col>
      <xdr:colOff>1419225</xdr:colOff>
      <xdr:row>19</xdr:row>
      <xdr:rowOff>123825</xdr:rowOff>
    </xdr:from>
    <xdr:to>
      <xdr:col>7</xdr:col>
      <xdr:colOff>428625</xdr:colOff>
      <xdr:row>22</xdr:row>
      <xdr:rowOff>123825</xdr:rowOff>
    </xdr:to>
    <xdr:cxnSp macro="">
      <xdr:nvCxnSpPr>
        <xdr:cNvPr id="32" name="Connecteur droit avec flèche 31">
          <a:extLst>
            <a:ext uri="{FF2B5EF4-FFF2-40B4-BE49-F238E27FC236}">
              <a16:creationId xmlns:a16="http://schemas.microsoft.com/office/drawing/2014/main" id="{06DBAEEE-D9DE-4908-9EAB-4442237F0717}"/>
            </a:ext>
          </a:extLst>
        </xdr:cNvPr>
        <xdr:cNvCxnSpPr/>
      </xdr:nvCxnSpPr>
      <xdr:spPr>
        <a:xfrm>
          <a:off x="8105775" y="2924175"/>
          <a:ext cx="752475" cy="60007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1657350</xdr:colOff>
      <xdr:row>19</xdr:row>
      <xdr:rowOff>114300</xdr:rowOff>
    </xdr:from>
    <xdr:to>
      <xdr:col>5</xdr:col>
      <xdr:colOff>409575</xdr:colOff>
      <xdr:row>21</xdr:row>
      <xdr:rowOff>114300</xdr:rowOff>
    </xdr:to>
    <xdr:cxnSp macro="">
      <xdr:nvCxnSpPr>
        <xdr:cNvPr id="34" name="Connecteur droit avec flèche 33">
          <a:extLst>
            <a:ext uri="{FF2B5EF4-FFF2-40B4-BE49-F238E27FC236}">
              <a16:creationId xmlns:a16="http://schemas.microsoft.com/office/drawing/2014/main" id="{EE0C050C-7C44-4233-8169-EE9C19BE23AF}"/>
            </a:ext>
          </a:extLst>
        </xdr:cNvPr>
        <xdr:cNvCxnSpPr/>
      </xdr:nvCxnSpPr>
      <xdr:spPr>
        <a:xfrm>
          <a:off x="6115050" y="2914650"/>
          <a:ext cx="495300" cy="40005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1647825</xdr:colOff>
      <xdr:row>19</xdr:row>
      <xdr:rowOff>114300</xdr:rowOff>
    </xdr:from>
    <xdr:to>
      <xdr:col>5</xdr:col>
      <xdr:colOff>419100</xdr:colOff>
      <xdr:row>22</xdr:row>
      <xdr:rowOff>104775</xdr:rowOff>
    </xdr:to>
    <xdr:cxnSp macro="">
      <xdr:nvCxnSpPr>
        <xdr:cNvPr id="36" name="Connecteur droit avec flèche 35">
          <a:extLst>
            <a:ext uri="{FF2B5EF4-FFF2-40B4-BE49-F238E27FC236}">
              <a16:creationId xmlns:a16="http://schemas.microsoft.com/office/drawing/2014/main" id="{80A750DB-1E86-4048-A90F-761ED6FD1A1D}"/>
            </a:ext>
          </a:extLst>
        </xdr:cNvPr>
        <xdr:cNvCxnSpPr/>
      </xdr:nvCxnSpPr>
      <xdr:spPr>
        <a:xfrm>
          <a:off x="6105525" y="2914650"/>
          <a:ext cx="514350" cy="59055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695325</xdr:colOff>
      <xdr:row>16</xdr:row>
      <xdr:rowOff>123825</xdr:rowOff>
    </xdr:from>
    <xdr:to>
      <xdr:col>5</xdr:col>
      <xdr:colOff>400050</xdr:colOff>
      <xdr:row>21</xdr:row>
      <xdr:rowOff>95250</xdr:rowOff>
    </xdr:to>
    <xdr:cxnSp macro="">
      <xdr:nvCxnSpPr>
        <xdr:cNvPr id="45" name="Connecteur : en arc 44">
          <a:extLst>
            <a:ext uri="{FF2B5EF4-FFF2-40B4-BE49-F238E27FC236}">
              <a16:creationId xmlns:a16="http://schemas.microsoft.com/office/drawing/2014/main" id="{16D244EC-5D7B-47B4-2FA6-E85FE9D1E824}"/>
            </a:ext>
          </a:extLst>
        </xdr:cNvPr>
        <xdr:cNvCxnSpPr/>
      </xdr:nvCxnSpPr>
      <xdr:spPr>
        <a:xfrm>
          <a:off x="5153025" y="2324100"/>
          <a:ext cx="1447800" cy="971550"/>
        </a:xfrm>
        <a:prstGeom prst="curvedConnector3">
          <a:avLst>
            <a:gd name="adj1" fmla="val 90789"/>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762003</xdr:colOff>
      <xdr:row>16</xdr:row>
      <xdr:rowOff>114303</xdr:rowOff>
    </xdr:from>
    <xdr:to>
      <xdr:col>5</xdr:col>
      <xdr:colOff>400051</xdr:colOff>
      <xdr:row>22</xdr:row>
      <xdr:rowOff>114303</xdr:rowOff>
    </xdr:to>
    <xdr:cxnSp macro="">
      <xdr:nvCxnSpPr>
        <xdr:cNvPr id="47" name="Connecteur : en arc 46">
          <a:extLst>
            <a:ext uri="{FF2B5EF4-FFF2-40B4-BE49-F238E27FC236}">
              <a16:creationId xmlns:a16="http://schemas.microsoft.com/office/drawing/2014/main" id="{B7A5F52D-91AE-4037-A321-9828EFF33566}"/>
            </a:ext>
          </a:extLst>
        </xdr:cNvPr>
        <xdr:cNvCxnSpPr/>
      </xdr:nvCxnSpPr>
      <xdr:spPr>
        <a:xfrm>
          <a:off x="5219703" y="2314578"/>
          <a:ext cx="1381123" cy="1200150"/>
        </a:xfrm>
        <a:prstGeom prst="curvedConnector3">
          <a:avLst>
            <a:gd name="adj1" fmla="val 92069"/>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1657350</xdr:colOff>
      <xdr:row>19</xdr:row>
      <xdr:rowOff>123825</xdr:rowOff>
    </xdr:from>
    <xdr:to>
      <xdr:col>5</xdr:col>
      <xdr:colOff>438150</xdr:colOff>
      <xdr:row>19</xdr:row>
      <xdr:rowOff>133350</xdr:rowOff>
    </xdr:to>
    <xdr:cxnSp macro="">
      <xdr:nvCxnSpPr>
        <xdr:cNvPr id="56" name="Connecteur droit avec flèche 55">
          <a:extLst>
            <a:ext uri="{FF2B5EF4-FFF2-40B4-BE49-F238E27FC236}">
              <a16:creationId xmlns:a16="http://schemas.microsoft.com/office/drawing/2014/main" id="{C17B002F-B5BA-4D84-8968-DC324F10B251}"/>
            </a:ext>
          </a:extLst>
        </xdr:cNvPr>
        <xdr:cNvCxnSpPr/>
      </xdr:nvCxnSpPr>
      <xdr:spPr>
        <a:xfrm flipV="1">
          <a:off x="6115050" y="2924175"/>
          <a:ext cx="523875" cy="9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8</xdr:col>
      <xdr:colOff>1590675</xdr:colOff>
      <xdr:row>19</xdr:row>
      <xdr:rowOff>123825</xdr:rowOff>
    </xdr:from>
    <xdr:to>
      <xdr:col>9</xdr:col>
      <xdr:colOff>428625</xdr:colOff>
      <xdr:row>19</xdr:row>
      <xdr:rowOff>133350</xdr:rowOff>
    </xdr:to>
    <xdr:cxnSp macro="">
      <xdr:nvCxnSpPr>
        <xdr:cNvPr id="58" name="Connecteur droit avec flèche 57">
          <a:extLst>
            <a:ext uri="{FF2B5EF4-FFF2-40B4-BE49-F238E27FC236}">
              <a16:creationId xmlns:a16="http://schemas.microsoft.com/office/drawing/2014/main" id="{F5D459E2-5387-40B3-AEEF-EB6EE1353613}"/>
            </a:ext>
          </a:extLst>
        </xdr:cNvPr>
        <xdr:cNvCxnSpPr/>
      </xdr:nvCxnSpPr>
      <xdr:spPr>
        <a:xfrm>
          <a:off x="10506075" y="2924175"/>
          <a:ext cx="581025" cy="9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10</xdr:col>
      <xdr:colOff>1428750</xdr:colOff>
      <xdr:row>19</xdr:row>
      <xdr:rowOff>123825</xdr:rowOff>
    </xdr:from>
    <xdr:to>
      <xdr:col>11</xdr:col>
      <xdr:colOff>428625</xdr:colOff>
      <xdr:row>19</xdr:row>
      <xdr:rowOff>133350</xdr:rowOff>
    </xdr:to>
    <xdr:cxnSp macro="">
      <xdr:nvCxnSpPr>
        <xdr:cNvPr id="60" name="Connecteur droit avec flèche 59">
          <a:extLst>
            <a:ext uri="{FF2B5EF4-FFF2-40B4-BE49-F238E27FC236}">
              <a16:creationId xmlns:a16="http://schemas.microsoft.com/office/drawing/2014/main" id="{D5FD1DA1-8D07-4B15-ABFF-C19738ECE559}"/>
            </a:ext>
          </a:extLst>
        </xdr:cNvPr>
        <xdr:cNvCxnSpPr/>
      </xdr:nvCxnSpPr>
      <xdr:spPr>
        <a:xfrm flipV="1">
          <a:off x="12573000" y="2924175"/>
          <a:ext cx="742950" cy="9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12</xdr:col>
      <xdr:colOff>1457325</xdr:colOff>
      <xdr:row>19</xdr:row>
      <xdr:rowOff>114300</xdr:rowOff>
    </xdr:from>
    <xdr:to>
      <xdr:col>13</xdr:col>
      <xdr:colOff>457200</xdr:colOff>
      <xdr:row>19</xdr:row>
      <xdr:rowOff>123825</xdr:rowOff>
    </xdr:to>
    <xdr:cxnSp macro="">
      <xdr:nvCxnSpPr>
        <xdr:cNvPr id="61" name="Connecteur droit avec flèche 60">
          <a:extLst>
            <a:ext uri="{FF2B5EF4-FFF2-40B4-BE49-F238E27FC236}">
              <a16:creationId xmlns:a16="http://schemas.microsoft.com/office/drawing/2014/main" id="{94ADB2F6-0B34-43D8-9638-09A8ABE78809}"/>
            </a:ext>
          </a:extLst>
        </xdr:cNvPr>
        <xdr:cNvCxnSpPr/>
      </xdr:nvCxnSpPr>
      <xdr:spPr>
        <a:xfrm flipV="1">
          <a:off x="14830425" y="2914650"/>
          <a:ext cx="742950" cy="9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647700</xdr:colOff>
      <xdr:row>6</xdr:row>
      <xdr:rowOff>123825</xdr:rowOff>
    </xdr:from>
    <xdr:to>
      <xdr:col>3</xdr:col>
      <xdr:colOff>428625</xdr:colOff>
      <xdr:row>6</xdr:row>
      <xdr:rowOff>133350</xdr:rowOff>
    </xdr:to>
    <xdr:cxnSp macro="">
      <xdr:nvCxnSpPr>
        <xdr:cNvPr id="62" name="Connecteur droit avec flèche 61">
          <a:extLst>
            <a:ext uri="{FF2B5EF4-FFF2-40B4-BE49-F238E27FC236}">
              <a16:creationId xmlns:a16="http://schemas.microsoft.com/office/drawing/2014/main" id="{483E2E38-CDBA-4D90-9FEC-B0BC2996112A}"/>
            </a:ext>
          </a:extLst>
        </xdr:cNvPr>
        <xdr:cNvCxnSpPr/>
      </xdr:nvCxnSpPr>
      <xdr:spPr>
        <a:xfrm>
          <a:off x="2876550" y="1323975"/>
          <a:ext cx="1524000" cy="9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1171575</xdr:colOff>
      <xdr:row>11</xdr:row>
      <xdr:rowOff>66675</xdr:rowOff>
    </xdr:from>
    <xdr:to>
      <xdr:col>3</xdr:col>
      <xdr:colOff>409575</xdr:colOff>
      <xdr:row>23</xdr:row>
      <xdr:rowOff>114300</xdr:rowOff>
    </xdr:to>
    <xdr:cxnSp macro="">
      <xdr:nvCxnSpPr>
        <xdr:cNvPr id="63" name="Connecteur droit avec flèche 62">
          <a:extLst>
            <a:ext uri="{FF2B5EF4-FFF2-40B4-BE49-F238E27FC236}">
              <a16:creationId xmlns:a16="http://schemas.microsoft.com/office/drawing/2014/main" id="{6C419893-5FCA-484F-8799-AE80C0317F7F}"/>
            </a:ext>
          </a:extLst>
        </xdr:cNvPr>
        <xdr:cNvCxnSpPr/>
      </xdr:nvCxnSpPr>
      <xdr:spPr>
        <a:xfrm flipV="1">
          <a:off x="1171575" y="2266950"/>
          <a:ext cx="3209925" cy="24479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1162050</xdr:colOff>
      <xdr:row>23</xdr:row>
      <xdr:rowOff>104775</xdr:rowOff>
    </xdr:from>
    <xdr:to>
      <xdr:col>1</xdr:col>
      <xdr:colOff>381000</xdr:colOff>
      <xdr:row>23</xdr:row>
      <xdr:rowOff>114300</xdr:rowOff>
    </xdr:to>
    <xdr:cxnSp macro="">
      <xdr:nvCxnSpPr>
        <xdr:cNvPr id="65" name="Connecteur droit avec flèche 64">
          <a:extLst>
            <a:ext uri="{FF2B5EF4-FFF2-40B4-BE49-F238E27FC236}">
              <a16:creationId xmlns:a16="http://schemas.microsoft.com/office/drawing/2014/main" id="{3C4D8981-34DE-48F7-A1A1-1BE0A343BF57}"/>
            </a:ext>
          </a:extLst>
        </xdr:cNvPr>
        <xdr:cNvCxnSpPr/>
      </xdr:nvCxnSpPr>
      <xdr:spPr>
        <a:xfrm flipV="1">
          <a:off x="1162050" y="4705350"/>
          <a:ext cx="962025" cy="9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561975</xdr:colOff>
      <xdr:row>23</xdr:row>
      <xdr:rowOff>152400</xdr:rowOff>
    </xdr:from>
    <xdr:to>
      <xdr:col>3</xdr:col>
      <xdr:colOff>428625</xdr:colOff>
      <xdr:row>26</xdr:row>
      <xdr:rowOff>104775</xdr:rowOff>
    </xdr:to>
    <xdr:cxnSp macro="">
      <xdr:nvCxnSpPr>
        <xdr:cNvPr id="67" name="Connecteur droit avec flèche 66">
          <a:extLst>
            <a:ext uri="{FF2B5EF4-FFF2-40B4-BE49-F238E27FC236}">
              <a16:creationId xmlns:a16="http://schemas.microsoft.com/office/drawing/2014/main" id="{9F8AB67D-7CDE-4C21-ADCE-4AFF7D23CA11}"/>
            </a:ext>
          </a:extLst>
        </xdr:cNvPr>
        <xdr:cNvCxnSpPr/>
      </xdr:nvCxnSpPr>
      <xdr:spPr>
        <a:xfrm>
          <a:off x="2790825" y="4752975"/>
          <a:ext cx="1609725" cy="55245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857250</xdr:colOff>
      <xdr:row>25</xdr:row>
      <xdr:rowOff>123825</xdr:rowOff>
    </xdr:from>
    <xdr:to>
      <xdr:col>3</xdr:col>
      <xdr:colOff>400050</xdr:colOff>
      <xdr:row>26</xdr:row>
      <xdr:rowOff>104775</xdr:rowOff>
    </xdr:to>
    <xdr:cxnSp macro="">
      <xdr:nvCxnSpPr>
        <xdr:cNvPr id="71" name="Connecteur droit avec flèche 70">
          <a:extLst>
            <a:ext uri="{FF2B5EF4-FFF2-40B4-BE49-F238E27FC236}">
              <a16:creationId xmlns:a16="http://schemas.microsoft.com/office/drawing/2014/main" id="{695AFE23-9BDD-4D17-9D61-DCFD47855D5D}"/>
            </a:ext>
          </a:extLst>
        </xdr:cNvPr>
        <xdr:cNvCxnSpPr/>
      </xdr:nvCxnSpPr>
      <xdr:spPr>
        <a:xfrm>
          <a:off x="3086100" y="5124450"/>
          <a:ext cx="1285875" cy="18097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619125</xdr:colOff>
      <xdr:row>26</xdr:row>
      <xdr:rowOff>142875</xdr:rowOff>
    </xdr:from>
    <xdr:to>
      <xdr:col>7</xdr:col>
      <xdr:colOff>434624</xdr:colOff>
      <xdr:row>28</xdr:row>
      <xdr:rowOff>123825</xdr:rowOff>
    </xdr:to>
    <xdr:cxnSp macro="">
      <xdr:nvCxnSpPr>
        <xdr:cNvPr id="74" name="Connecteur droit avec flèche 73">
          <a:extLst>
            <a:ext uri="{FF2B5EF4-FFF2-40B4-BE49-F238E27FC236}">
              <a16:creationId xmlns:a16="http://schemas.microsoft.com/office/drawing/2014/main" id="{756E69FA-52BE-421F-B0C2-6F6F4C9E9A91}"/>
            </a:ext>
          </a:extLst>
        </xdr:cNvPr>
        <xdr:cNvCxnSpPr/>
      </xdr:nvCxnSpPr>
      <xdr:spPr>
        <a:xfrm>
          <a:off x="5076825" y="5343525"/>
          <a:ext cx="3787424" cy="38100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8</xdr:col>
      <xdr:colOff>962024</xdr:colOff>
      <xdr:row>28</xdr:row>
      <xdr:rowOff>123825</xdr:rowOff>
    </xdr:from>
    <xdr:to>
      <xdr:col>11</xdr:col>
      <xdr:colOff>410099</xdr:colOff>
      <xdr:row>28</xdr:row>
      <xdr:rowOff>123825</xdr:rowOff>
    </xdr:to>
    <xdr:cxnSp macro="">
      <xdr:nvCxnSpPr>
        <xdr:cNvPr id="76" name="Connecteur droit avec flèche 75">
          <a:extLst>
            <a:ext uri="{FF2B5EF4-FFF2-40B4-BE49-F238E27FC236}">
              <a16:creationId xmlns:a16="http://schemas.microsoft.com/office/drawing/2014/main" id="{5FAD6323-54C8-4D87-8DE1-C7CF8770B71D}"/>
            </a:ext>
          </a:extLst>
        </xdr:cNvPr>
        <xdr:cNvCxnSpPr/>
      </xdr:nvCxnSpPr>
      <xdr:spPr>
        <a:xfrm>
          <a:off x="9877424" y="5124450"/>
          <a:ext cx="3420000" cy="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533400</xdr:colOff>
      <xdr:row>27</xdr:row>
      <xdr:rowOff>114300</xdr:rowOff>
    </xdr:from>
    <xdr:to>
      <xdr:col>7</xdr:col>
      <xdr:colOff>457200</xdr:colOff>
      <xdr:row>28</xdr:row>
      <xdr:rowOff>142875</xdr:rowOff>
    </xdr:to>
    <xdr:cxnSp macro="">
      <xdr:nvCxnSpPr>
        <xdr:cNvPr id="77" name="Connecteur droit avec flèche 76">
          <a:extLst>
            <a:ext uri="{FF2B5EF4-FFF2-40B4-BE49-F238E27FC236}">
              <a16:creationId xmlns:a16="http://schemas.microsoft.com/office/drawing/2014/main" id="{C1D9F4D1-6E3C-4D82-A91F-65DC3757C707}"/>
            </a:ext>
          </a:extLst>
        </xdr:cNvPr>
        <xdr:cNvCxnSpPr/>
      </xdr:nvCxnSpPr>
      <xdr:spPr>
        <a:xfrm>
          <a:off x="2762250" y="5514975"/>
          <a:ext cx="6124575" cy="22860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8</xdr:col>
      <xdr:colOff>1600200</xdr:colOff>
      <xdr:row>19</xdr:row>
      <xdr:rowOff>133350</xdr:rowOff>
    </xdr:from>
    <xdr:to>
      <xdr:col>9</xdr:col>
      <xdr:colOff>409575</xdr:colOff>
      <xdr:row>25</xdr:row>
      <xdr:rowOff>123825</xdr:rowOff>
    </xdr:to>
    <xdr:cxnSp macro="">
      <xdr:nvCxnSpPr>
        <xdr:cNvPr id="89" name="Connecteur droit avec flèche 88">
          <a:extLst>
            <a:ext uri="{FF2B5EF4-FFF2-40B4-BE49-F238E27FC236}">
              <a16:creationId xmlns:a16="http://schemas.microsoft.com/office/drawing/2014/main" id="{47B1E753-B478-498C-90DF-F4C1A40BAE78}"/>
            </a:ext>
          </a:extLst>
        </xdr:cNvPr>
        <xdr:cNvCxnSpPr/>
      </xdr:nvCxnSpPr>
      <xdr:spPr>
        <a:xfrm flipV="1">
          <a:off x="10515600" y="3933825"/>
          <a:ext cx="552450" cy="11906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6</xdr:col>
      <xdr:colOff>1219200</xdr:colOff>
      <xdr:row>19</xdr:row>
      <xdr:rowOff>104775</xdr:rowOff>
    </xdr:from>
    <xdr:to>
      <xdr:col>7</xdr:col>
      <xdr:colOff>400050</xdr:colOff>
      <xdr:row>25</xdr:row>
      <xdr:rowOff>123825</xdr:rowOff>
    </xdr:to>
    <xdr:cxnSp macro="">
      <xdr:nvCxnSpPr>
        <xdr:cNvPr id="91" name="Connecteur droit avec flèche 90">
          <a:extLst>
            <a:ext uri="{FF2B5EF4-FFF2-40B4-BE49-F238E27FC236}">
              <a16:creationId xmlns:a16="http://schemas.microsoft.com/office/drawing/2014/main" id="{6331C464-DF00-4086-9C69-19BBC2D2869E}"/>
            </a:ext>
          </a:extLst>
        </xdr:cNvPr>
        <xdr:cNvCxnSpPr/>
      </xdr:nvCxnSpPr>
      <xdr:spPr>
        <a:xfrm flipV="1">
          <a:off x="7905750" y="3905250"/>
          <a:ext cx="923925" cy="121920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6</xdr:col>
      <xdr:colOff>1200150</xdr:colOff>
      <xdr:row>25</xdr:row>
      <xdr:rowOff>123825</xdr:rowOff>
    </xdr:from>
    <xdr:to>
      <xdr:col>7</xdr:col>
      <xdr:colOff>438150</xdr:colOff>
      <xdr:row>25</xdr:row>
      <xdr:rowOff>133350</xdr:rowOff>
    </xdr:to>
    <xdr:cxnSp macro="">
      <xdr:nvCxnSpPr>
        <xdr:cNvPr id="93" name="Connecteur droit avec flèche 92">
          <a:extLst>
            <a:ext uri="{FF2B5EF4-FFF2-40B4-BE49-F238E27FC236}">
              <a16:creationId xmlns:a16="http://schemas.microsoft.com/office/drawing/2014/main" id="{DB181FD3-EC48-4FBD-B11C-505115B73CF1}"/>
            </a:ext>
          </a:extLst>
        </xdr:cNvPr>
        <xdr:cNvCxnSpPr/>
      </xdr:nvCxnSpPr>
      <xdr:spPr>
        <a:xfrm flipV="1">
          <a:off x="7886700" y="5124450"/>
          <a:ext cx="981075" cy="95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657225</xdr:colOff>
      <xdr:row>28</xdr:row>
      <xdr:rowOff>133350</xdr:rowOff>
    </xdr:from>
    <xdr:to>
      <xdr:col>11</xdr:col>
      <xdr:colOff>381000</xdr:colOff>
      <xdr:row>29</xdr:row>
      <xdr:rowOff>133350</xdr:rowOff>
    </xdr:to>
    <xdr:cxnSp macro="">
      <xdr:nvCxnSpPr>
        <xdr:cNvPr id="96" name="Connecteur droit avec flèche 95">
          <a:extLst>
            <a:ext uri="{FF2B5EF4-FFF2-40B4-BE49-F238E27FC236}">
              <a16:creationId xmlns:a16="http://schemas.microsoft.com/office/drawing/2014/main" id="{F0D821DC-20F6-47D7-A0AB-2E067DF564B3}"/>
            </a:ext>
          </a:extLst>
        </xdr:cNvPr>
        <xdr:cNvCxnSpPr/>
      </xdr:nvCxnSpPr>
      <xdr:spPr>
        <a:xfrm flipV="1">
          <a:off x="2886075" y="5734050"/>
          <a:ext cx="10382250" cy="20002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0</xdr:col>
      <xdr:colOff>1200150</xdr:colOff>
      <xdr:row>16</xdr:row>
      <xdr:rowOff>114300</xdr:rowOff>
    </xdr:from>
    <xdr:to>
      <xdr:col>3</xdr:col>
      <xdr:colOff>409575</xdr:colOff>
      <xdr:row>23</xdr:row>
      <xdr:rowOff>114300</xdr:rowOff>
    </xdr:to>
    <xdr:cxnSp macro="">
      <xdr:nvCxnSpPr>
        <xdr:cNvPr id="2" name="Connecteur droit avec flèche 1">
          <a:extLst>
            <a:ext uri="{FF2B5EF4-FFF2-40B4-BE49-F238E27FC236}">
              <a16:creationId xmlns:a16="http://schemas.microsoft.com/office/drawing/2014/main" id="{EFB2B130-D627-4A0C-9551-F240E57BE459}"/>
            </a:ext>
          </a:extLst>
        </xdr:cNvPr>
        <xdr:cNvCxnSpPr/>
      </xdr:nvCxnSpPr>
      <xdr:spPr>
        <a:xfrm flipV="1">
          <a:off x="1200150" y="3314700"/>
          <a:ext cx="3181350" cy="1400175"/>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2D196-CE0D-4FC4-B594-4D58D173DB05}">
  <dimension ref="A1:C18"/>
  <sheetViews>
    <sheetView workbookViewId="0">
      <selection activeCell="C39" sqref="C39"/>
    </sheetView>
  </sheetViews>
  <sheetFormatPr baseColWidth="10" defaultColWidth="13.85546875" defaultRowHeight="15" x14ac:dyDescent="0.25"/>
  <cols>
    <col min="1" max="1" width="42.140625" style="1" customWidth="1"/>
    <col min="2" max="2" width="17.85546875" style="18" customWidth="1"/>
    <col min="3" max="3" width="81" style="1" customWidth="1"/>
    <col min="4" max="16384" width="13.85546875" style="1"/>
  </cols>
  <sheetData>
    <row r="1" spans="1:3" x14ac:dyDescent="0.25">
      <c r="A1" s="42" t="s">
        <v>618</v>
      </c>
      <c r="B1" s="43" t="s">
        <v>617</v>
      </c>
      <c r="C1" s="44" t="s">
        <v>190</v>
      </c>
    </row>
    <row r="3" spans="1:3" x14ac:dyDescent="0.25">
      <c r="A3" s="1" t="s">
        <v>610</v>
      </c>
      <c r="B3" s="18">
        <v>1001</v>
      </c>
      <c r="C3" s="1" t="s">
        <v>613</v>
      </c>
    </row>
    <row r="5" spans="1:3" x14ac:dyDescent="0.25">
      <c r="A5" s="1" t="s">
        <v>611</v>
      </c>
      <c r="B5" s="18">
        <v>1</v>
      </c>
    </row>
    <row r="6" spans="1:3" x14ac:dyDescent="0.25">
      <c r="A6" s="1" t="s">
        <v>612</v>
      </c>
      <c r="B6" s="18">
        <v>1</v>
      </c>
    </row>
    <row r="9" spans="1:3" x14ac:dyDescent="0.25">
      <c r="A9" s="1" t="s">
        <v>616</v>
      </c>
      <c r="B9" s="18">
        <v>1</v>
      </c>
      <c r="C9" s="1" t="s">
        <v>622</v>
      </c>
    </row>
    <row r="10" spans="1:3" x14ac:dyDescent="0.25">
      <c r="A10" s="1" t="s">
        <v>623</v>
      </c>
      <c r="B10" s="18" t="s">
        <v>1579</v>
      </c>
    </row>
    <row r="11" spans="1:3" x14ac:dyDescent="0.25">
      <c r="A11" s="1" t="s">
        <v>624</v>
      </c>
      <c r="B11" s="18" t="s">
        <v>1579</v>
      </c>
    </row>
    <row r="12" spans="1:3" x14ac:dyDescent="0.25">
      <c r="A12" s="1" t="s">
        <v>625</v>
      </c>
      <c r="B12" s="18" t="s">
        <v>1579</v>
      </c>
    </row>
    <row r="14" spans="1:3" x14ac:dyDescent="0.25">
      <c r="A14" s="1" t="s">
        <v>614</v>
      </c>
      <c r="B14" s="18" t="s">
        <v>1579</v>
      </c>
      <c r="C14" s="1" t="s">
        <v>626</v>
      </c>
    </row>
    <row r="18" spans="1:1" x14ac:dyDescent="0.25">
      <c r="A18" s="44" t="s">
        <v>190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B8AE4-0FD4-4126-AACD-9736F4C81F06}">
  <dimension ref="A1:M49"/>
  <sheetViews>
    <sheetView workbookViewId="0">
      <selection activeCell="I28" sqref="I28"/>
    </sheetView>
  </sheetViews>
  <sheetFormatPr baseColWidth="10" defaultColWidth="13.85546875" defaultRowHeight="15" x14ac:dyDescent="0.25"/>
  <cols>
    <col min="1" max="1" width="41.85546875" style="10" customWidth="1"/>
    <col min="2" max="12" width="13.85546875" style="1"/>
    <col min="13" max="13" width="119.7109375" style="1" customWidth="1"/>
    <col min="14" max="16384" width="13.85546875" style="1"/>
  </cols>
  <sheetData>
    <row r="1" spans="1:13" x14ac:dyDescent="0.25">
      <c r="A1" s="10" t="s">
        <v>599</v>
      </c>
      <c r="B1" s="1" t="s">
        <v>601</v>
      </c>
      <c r="C1" s="1" t="s">
        <v>627</v>
      </c>
      <c r="D1" s="1" t="s">
        <v>602</v>
      </c>
      <c r="F1" s="1" t="s">
        <v>629</v>
      </c>
      <c r="G1" s="1" t="s">
        <v>630</v>
      </c>
      <c r="H1" s="1" t="s">
        <v>609</v>
      </c>
      <c r="I1" s="1" t="s">
        <v>628</v>
      </c>
      <c r="K1" s="1" t="s">
        <v>603</v>
      </c>
      <c r="M1" s="1" t="s">
        <v>190</v>
      </c>
    </row>
    <row r="2" spans="1:13" x14ac:dyDescent="0.25">
      <c r="A2" s="10" t="s">
        <v>600</v>
      </c>
      <c r="B2" s="1" t="s">
        <v>607</v>
      </c>
      <c r="C2" s="1" t="s">
        <v>605</v>
      </c>
      <c r="D2" s="1" t="s">
        <v>606</v>
      </c>
      <c r="F2" s="1" t="s">
        <v>604</v>
      </c>
      <c r="G2" s="1" t="s">
        <v>604</v>
      </c>
      <c r="H2" s="1" t="s">
        <v>608</v>
      </c>
      <c r="I2" s="1" t="s">
        <v>608</v>
      </c>
      <c r="K2" s="1" t="s">
        <v>608</v>
      </c>
      <c r="M2" s="1" t="s">
        <v>621</v>
      </c>
    </row>
    <row r="3" spans="1:13" x14ac:dyDescent="0.25">
      <c r="A3" s="10" t="s">
        <v>619</v>
      </c>
      <c r="B3" s="1">
        <v>0</v>
      </c>
      <c r="C3" s="1">
        <v>0</v>
      </c>
      <c r="D3" s="1">
        <v>0</v>
      </c>
      <c r="F3" s="1">
        <v>0</v>
      </c>
      <c r="G3" s="1">
        <v>1</v>
      </c>
      <c r="H3" s="1">
        <v>0</v>
      </c>
      <c r="I3" s="1">
        <v>0</v>
      </c>
      <c r="K3" s="1">
        <v>0</v>
      </c>
      <c r="M3" s="1" t="s">
        <v>620</v>
      </c>
    </row>
    <row r="5" spans="1:13" x14ac:dyDescent="0.25">
      <c r="A5" s="10" t="s">
        <v>631</v>
      </c>
      <c r="B5" s="1">
        <v>350</v>
      </c>
      <c r="C5" s="1">
        <v>500</v>
      </c>
      <c r="D5" s="1">
        <v>350</v>
      </c>
      <c r="F5" s="1">
        <v>250</v>
      </c>
      <c r="G5" s="1">
        <v>300</v>
      </c>
      <c r="H5" s="1">
        <v>150</v>
      </c>
      <c r="I5" s="1">
        <v>75</v>
      </c>
      <c r="K5" s="1">
        <v>150</v>
      </c>
    </row>
    <row r="6" spans="1:13" x14ac:dyDescent="0.25">
      <c r="A6" s="10" t="s">
        <v>632</v>
      </c>
      <c r="B6" s="1">
        <v>1000</v>
      </c>
      <c r="C6" s="1">
        <v>1000</v>
      </c>
      <c r="D6" s="1">
        <v>650</v>
      </c>
      <c r="F6" s="1">
        <v>350</v>
      </c>
      <c r="G6" s="1">
        <v>400</v>
      </c>
      <c r="H6" s="1">
        <v>250</v>
      </c>
      <c r="I6" s="1">
        <v>125</v>
      </c>
      <c r="K6" s="1">
        <v>250</v>
      </c>
    </row>
    <row r="8" spans="1:13" x14ac:dyDescent="0.25">
      <c r="A8" s="10" t="s">
        <v>760</v>
      </c>
    </row>
    <row r="9" spans="1:13" x14ac:dyDescent="0.25">
      <c r="A9" s="10" t="s">
        <v>633</v>
      </c>
      <c r="B9" s="1">
        <v>0</v>
      </c>
      <c r="C9" s="1">
        <v>8</v>
      </c>
      <c r="D9" s="1">
        <v>0</v>
      </c>
      <c r="F9" s="1">
        <v>0</v>
      </c>
      <c r="G9" s="1">
        <v>0</v>
      </c>
      <c r="H9" s="1">
        <v>0</v>
      </c>
      <c r="I9" s="1">
        <v>0</v>
      </c>
      <c r="K9" s="1">
        <v>0</v>
      </c>
    </row>
    <row r="10" spans="1:13" x14ac:dyDescent="0.25">
      <c r="A10" s="10" t="s">
        <v>634</v>
      </c>
      <c r="B10" s="1">
        <v>0</v>
      </c>
      <c r="C10" s="1">
        <v>12</v>
      </c>
      <c r="D10" s="1">
        <v>0</v>
      </c>
      <c r="F10" s="1">
        <v>0</v>
      </c>
      <c r="G10" s="1">
        <v>0</v>
      </c>
      <c r="H10" s="1">
        <v>0</v>
      </c>
      <c r="I10" s="1">
        <v>0</v>
      </c>
      <c r="K10" s="1">
        <v>0</v>
      </c>
    </row>
    <row r="13" spans="1:13" x14ac:dyDescent="0.25">
      <c r="A13" s="10" t="s">
        <v>759</v>
      </c>
    </row>
    <row r="14" spans="1:13" x14ac:dyDescent="0.25">
      <c r="A14" s="10" t="s">
        <v>748</v>
      </c>
      <c r="B14" s="1">
        <v>0</v>
      </c>
      <c r="C14" s="1">
        <v>0</v>
      </c>
      <c r="D14" s="1">
        <v>0</v>
      </c>
      <c r="F14" s="1">
        <v>0</v>
      </c>
      <c r="G14" s="1">
        <v>0</v>
      </c>
      <c r="H14" s="1">
        <v>0</v>
      </c>
      <c r="I14" s="1">
        <v>0</v>
      </c>
      <c r="K14" s="1">
        <v>0</v>
      </c>
    </row>
    <row r="15" spans="1:13" x14ac:dyDescent="0.25">
      <c r="A15" s="10" t="s">
        <v>749</v>
      </c>
      <c r="B15" s="1">
        <v>0.95550000000000002</v>
      </c>
      <c r="C15" s="1">
        <v>0.96099999999999997</v>
      </c>
      <c r="D15" s="1">
        <v>0.91769999999999996</v>
      </c>
      <c r="F15" s="1">
        <v>0.95650000000000002</v>
      </c>
      <c r="G15" s="1">
        <v>0.92999999999999994</v>
      </c>
      <c r="H15" s="1">
        <v>0.95650000000000002</v>
      </c>
      <c r="I15" s="1">
        <v>0.95650000000000002</v>
      </c>
      <c r="K15" s="1">
        <v>0.95650000000000002</v>
      </c>
    </row>
    <row r="16" spans="1:13" x14ac:dyDescent="0.25">
      <c r="A16" s="10" t="s">
        <v>750</v>
      </c>
      <c r="B16" s="1">
        <v>5.0000000000000001E-3</v>
      </c>
      <c r="C16" s="1">
        <v>5.0000000000000001E-3</v>
      </c>
      <c r="D16" s="1">
        <v>0.05</v>
      </c>
      <c r="F16" s="1">
        <v>5.0000000000000001E-3</v>
      </c>
      <c r="G16" s="1">
        <v>5.0000000000000001E-3</v>
      </c>
      <c r="H16" s="1">
        <v>5.0000000000000001E-3</v>
      </c>
      <c r="I16" s="1">
        <v>5.0000000000000001E-3</v>
      </c>
      <c r="K16" s="1">
        <v>5.0000000000000001E-3</v>
      </c>
    </row>
    <row r="17" spans="1:12" x14ac:dyDescent="0.25">
      <c r="A17" s="10" t="s">
        <v>751</v>
      </c>
    </row>
    <row r="18" spans="1:12" x14ac:dyDescent="0.25">
      <c r="A18" s="10" t="s">
        <v>752</v>
      </c>
      <c r="B18" s="1">
        <v>5.0000000000000001E-4</v>
      </c>
      <c r="C18" s="1">
        <v>0</v>
      </c>
      <c r="D18" s="1">
        <v>2.9999999999999997E-4</v>
      </c>
      <c r="F18" s="1">
        <v>5.0000000000000001E-4</v>
      </c>
      <c r="G18" s="1">
        <v>1E-3</v>
      </c>
      <c r="H18" s="1">
        <v>5.0000000000000001E-4</v>
      </c>
      <c r="I18" s="1">
        <v>5.0000000000000001E-4</v>
      </c>
      <c r="K18" s="1">
        <v>5.0000000000000001E-4</v>
      </c>
    </row>
    <row r="19" spans="1:12" x14ac:dyDescent="0.25">
      <c r="A19" s="10" t="s">
        <v>753</v>
      </c>
      <c r="B19" s="1">
        <v>5.0000000000000001E-3</v>
      </c>
      <c r="C19" s="1">
        <v>0</v>
      </c>
      <c r="D19" s="1">
        <v>2E-3</v>
      </c>
      <c r="F19" s="1">
        <v>5.0000000000000001E-3</v>
      </c>
      <c r="G19" s="1">
        <v>8.0000000000000002E-3</v>
      </c>
      <c r="H19" s="1">
        <v>5.0000000000000001E-3</v>
      </c>
      <c r="I19" s="1">
        <v>5.0000000000000001E-3</v>
      </c>
      <c r="K19" s="1">
        <v>5.0000000000000001E-3</v>
      </c>
    </row>
    <row r="20" spans="1:12" x14ac:dyDescent="0.25">
      <c r="A20" s="10" t="s">
        <v>754</v>
      </c>
      <c r="B20" s="1">
        <v>0.01</v>
      </c>
      <c r="C20" s="1">
        <v>0.01</v>
      </c>
      <c r="D20" s="1">
        <v>5.0000000000000001E-3</v>
      </c>
      <c r="F20" s="1">
        <v>0.01</v>
      </c>
      <c r="G20" s="1">
        <v>0.02</v>
      </c>
      <c r="H20" s="1">
        <v>0.01</v>
      </c>
      <c r="I20" s="1">
        <v>0.01</v>
      </c>
      <c r="K20" s="1">
        <v>0.01</v>
      </c>
    </row>
    <row r="21" spans="1:12" x14ac:dyDescent="0.25">
      <c r="A21" s="10" t="s">
        <v>755</v>
      </c>
      <c r="B21" s="1">
        <v>0.02</v>
      </c>
      <c r="C21" s="1">
        <v>0.02</v>
      </c>
      <c r="D21" s="1">
        <v>0.01</v>
      </c>
      <c r="F21" s="1">
        <v>0.02</v>
      </c>
      <c r="G21" s="1">
        <v>0.03</v>
      </c>
      <c r="H21" s="1">
        <v>0.02</v>
      </c>
      <c r="I21" s="1">
        <v>0.02</v>
      </c>
      <c r="K21" s="1">
        <v>0.02</v>
      </c>
    </row>
    <row r="22" spans="1:12" x14ac:dyDescent="0.25">
      <c r="A22" s="10" t="s">
        <v>777</v>
      </c>
      <c r="B22" s="1">
        <v>1E-3</v>
      </c>
      <c r="C22" s="1">
        <v>1E-3</v>
      </c>
      <c r="D22" s="1">
        <v>3.0000000000000001E-3</v>
      </c>
      <c r="F22" s="1">
        <v>0</v>
      </c>
      <c r="G22" s="1">
        <v>0</v>
      </c>
      <c r="H22" s="1">
        <v>0</v>
      </c>
      <c r="I22" s="1">
        <v>0</v>
      </c>
      <c r="K22" s="1">
        <v>0</v>
      </c>
    </row>
    <row r="23" spans="1:12" x14ac:dyDescent="0.25">
      <c r="A23" s="10" t="s">
        <v>756</v>
      </c>
      <c r="B23" s="1">
        <v>1E-3</v>
      </c>
      <c r="C23" s="1">
        <v>1E-3</v>
      </c>
      <c r="D23" s="1">
        <v>5.0000000000000001E-3</v>
      </c>
      <c r="F23" s="1">
        <v>1E-3</v>
      </c>
      <c r="G23" s="1">
        <v>2E-3</v>
      </c>
      <c r="H23" s="1">
        <v>1E-3</v>
      </c>
      <c r="I23" s="1">
        <v>1E-3</v>
      </c>
      <c r="K23" s="1">
        <v>1E-3</v>
      </c>
    </row>
    <row r="24" spans="1:12" x14ac:dyDescent="0.25">
      <c r="A24" s="10" t="s">
        <v>757</v>
      </c>
      <c r="B24" s="1">
        <v>1E-3</v>
      </c>
      <c r="C24" s="1">
        <v>1E-3</v>
      </c>
      <c r="D24" s="1">
        <v>5.0000000000000001E-3</v>
      </c>
      <c r="F24" s="1">
        <v>1E-3</v>
      </c>
      <c r="G24" s="1">
        <v>2E-3</v>
      </c>
      <c r="H24" s="1">
        <v>1E-3</v>
      </c>
      <c r="I24" s="1">
        <v>1E-3</v>
      </c>
      <c r="K24" s="1">
        <v>1E-3</v>
      </c>
    </row>
    <row r="25" spans="1:12" x14ac:dyDescent="0.25">
      <c r="A25" s="10" t="s">
        <v>758</v>
      </c>
      <c r="B25" s="1">
        <v>1E-3</v>
      </c>
      <c r="C25" s="1">
        <v>1E-3</v>
      </c>
      <c r="D25" s="1">
        <v>2E-3</v>
      </c>
      <c r="F25" s="1">
        <v>1E-3</v>
      </c>
      <c r="G25" s="1">
        <v>2E-3</v>
      </c>
      <c r="H25" s="1">
        <v>1E-3</v>
      </c>
      <c r="I25" s="1">
        <v>1E-3</v>
      </c>
      <c r="K25" s="1">
        <v>1E-3</v>
      </c>
    </row>
    <row r="31" spans="1:12" x14ac:dyDescent="0.25">
      <c r="A31" s="24" t="s">
        <v>190</v>
      </c>
      <c r="B31" s="25"/>
      <c r="C31" s="25"/>
      <c r="D31" s="25"/>
      <c r="E31" s="25"/>
      <c r="F31" s="25"/>
      <c r="G31" s="25"/>
      <c r="H31" s="25"/>
      <c r="I31" s="25"/>
      <c r="J31" s="25"/>
      <c r="K31" s="25"/>
      <c r="L31" s="25"/>
    </row>
    <row r="32" spans="1:12" x14ac:dyDescent="0.25">
      <c r="B32" s="1" t="str">
        <f>IF(1-SUM(B14:B25)&lt;&gt;0,1-SUM(B14:B25),"")</f>
        <v/>
      </c>
      <c r="C32" s="1" t="str">
        <f t="shared" ref="C32:K32" si="0">IF(1-SUM(C14:C25)&lt;&gt;0,1-SUM(C14:C25),"")</f>
        <v/>
      </c>
      <c r="D32" s="1" t="str">
        <f t="shared" si="0"/>
        <v/>
      </c>
      <c r="F32" s="1" t="str">
        <f t="shared" si="0"/>
        <v/>
      </c>
      <c r="G32" s="1" t="str">
        <f t="shared" si="0"/>
        <v/>
      </c>
      <c r="H32" s="1" t="str">
        <f t="shared" si="0"/>
        <v/>
      </c>
      <c r="I32" s="1" t="str">
        <f t="shared" si="0"/>
        <v/>
      </c>
      <c r="K32" s="1" t="str">
        <f t="shared" si="0"/>
        <v/>
      </c>
      <c r="L32" s="10"/>
    </row>
    <row r="33" spans="1:11" x14ac:dyDescent="0.25">
      <c r="B33" s="1" t="str">
        <f>IF(SUM(B14:B25)&lt;&gt;1,SUM(B14:B25),"")</f>
        <v/>
      </c>
      <c r="C33" s="1" t="str">
        <f>IF(SUM(C14:C25)&lt;&gt;1,SUM(C14:C25),"")</f>
        <v/>
      </c>
      <c r="D33" s="1" t="str">
        <f>IF(SUM(D14:D25)&lt;&gt;1,SUM(D14:D25),"")</f>
        <v/>
      </c>
      <c r="F33" s="1" t="str">
        <f>IF(SUM(F14:F25)&lt;&gt;1,SUM(F14:F25),"")</f>
        <v/>
      </c>
      <c r="G33" s="1" t="str">
        <f>IF(SUM(G14:G25)&lt;&gt;1,SUM(G14:G25),"")</f>
        <v/>
      </c>
      <c r="H33" s="1" t="str">
        <f>IF(SUM(H14:H25)&lt;&gt;1,SUM(H14:H25),"")</f>
        <v/>
      </c>
      <c r="I33" s="1" t="str">
        <f>IF(SUM(I14:I25)&lt;&gt;1,SUM(I14:I25),"")</f>
        <v/>
      </c>
    </row>
    <row r="34" spans="1:11" x14ac:dyDescent="0.25">
      <c r="K34" s="1" t="str">
        <f>IF(SUM(K14:K25)&lt;&gt;1,SUM(K14:K25),"")</f>
        <v/>
      </c>
    </row>
    <row r="35" spans="1:11" x14ac:dyDescent="0.25">
      <c r="A35" s="1"/>
    </row>
    <row r="36" spans="1:11" x14ac:dyDescent="0.25">
      <c r="A36" s="10" t="s">
        <v>761</v>
      </c>
      <c r="B36" s="1">
        <f>(B5+B6)/2</f>
        <v>675</v>
      </c>
      <c r="C36" s="1">
        <f>(C5+C6)/2</f>
        <v>750</v>
      </c>
      <c r="D36" s="1">
        <f>(D5+D6)/2</f>
        <v>500</v>
      </c>
      <c r="F36" s="1">
        <f>(F5+F6)/2</f>
        <v>300</v>
      </c>
      <c r="G36" s="1">
        <f>(G5+G6)/2</f>
        <v>350</v>
      </c>
      <c r="H36" s="1">
        <f>(H5+H6)/2</f>
        <v>200</v>
      </c>
      <c r="I36" s="1">
        <f>(I5+I6)/2</f>
        <v>100</v>
      </c>
      <c r="K36" s="1">
        <f>(K5+K6)/2</f>
        <v>200</v>
      </c>
    </row>
    <row r="38" spans="1:11" x14ac:dyDescent="0.25">
      <c r="A38" s="10" t="s">
        <v>876</v>
      </c>
      <c r="B38" s="1">
        <f t="shared" ref="B38:D49" si="1">B14*B$36</f>
        <v>0</v>
      </c>
      <c r="C38" s="1">
        <f t="shared" si="1"/>
        <v>0</v>
      </c>
      <c r="D38" s="1">
        <f t="shared" si="1"/>
        <v>0</v>
      </c>
      <c r="F38" s="1">
        <f t="shared" ref="F38:I49" si="2">F14*F$36</f>
        <v>0</v>
      </c>
      <c r="G38" s="1">
        <f t="shared" si="2"/>
        <v>0</v>
      </c>
      <c r="H38" s="1">
        <f t="shared" si="2"/>
        <v>0</v>
      </c>
      <c r="I38" s="1">
        <f t="shared" si="2"/>
        <v>0</v>
      </c>
      <c r="K38" s="1">
        <f t="shared" ref="K38:K49" si="3">K14*K$36</f>
        <v>0</v>
      </c>
    </row>
    <row r="39" spans="1:11" x14ac:dyDescent="0.25">
      <c r="A39" s="10" t="s">
        <v>877</v>
      </c>
      <c r="B39" s="1">
        <f t="shared" si="1"/>
        <v>644.96249999999998</v>
      </c>
      <c r="C39" s="1">
        <f t="shared" si="1"/>
        <v>720.75</v>
      </c>
      <c r="D39" s="1">
        <f t="shared" si="1"/>
        <v>458.84999999999997</v>
      </c>
      <c r="F39" s="1">
        <f t="shared" si="2"/>
        <v>286.95</v>
      </c>
      <c r="G39" s="1">
        <f t="shared" si="2"/>
        <v>325.5</v>
      </c>
      <c r="H39" s="1">
        <f t="shared" si="2"/>
        <v>191.3</v>
      </c>
      <c r="I39" s="1">
        <f t="shared" si="2"/>
        <v>95.65</v>
      </c>
      <c r="K39" s="1">
        <f t="shared" si="3"/>
        <v>191.3</v>
      </c>
    </row>
    <row r="40" spans="1:11" x14ac:dyDescent="0.25">
      <c r="A40" s="10" t="s">
        <v>878</v>
      </c>
      <c r="B40" s="1">
        <f t="shared" si="1"/>
        <v>3.375</v>
      </c>
      <c r="C40" s="1">
        <f t="shared" si="1"/>
        <v>3.75</v>
      </c>
      <c r="D40" s="1">
        <f t="shared" si="1"/>
        <v>25</v>
      </c>
      <c r="F40" s="1">
        <f t="shared" si="2"/>
        <v>1.5</v>
      </c>
      <c r="G40" s="1">
        <f t="shared" si="2"/>
        <v>1.75</v>
      </c>
      <c r="H40" s="1">
        <f t="shared" si="2"/>
        <v>1</v>
      </c>
      <c r="I40" s="1">
        <f t="shared" si="2"/>
        <v>0.5</v>
      </c>
      <c r="K40" s="1">
        <f t="shared" si="3"/>
        <v>1</v>
      </c>
    </row>
    <row r="41" spans="1:11" x14ac:dyDescent="0.25">
      <c r="A41" s="10" t="s">
        <v>879</v>
      </c>
      <c r="B41" s="1">
        <f t="shared" si="1"/>
        <v>0</v>
      </c>
      <c r="C41" s="1">
        <f t="shared" si="1"/>
        <v>0</v>
      </c>
      <c r="D41" s="1">
        <f t="shared" si="1"/>
        <v>0</v>
      </c>
      <c r="F41" s="1">
        <f t="shared" si="2"/>
        <v>0</v>
      </c>
      <c r="G41" s="1">
        <f t="shared" si="2"/>
        <v>0</v>
      </c>
      <c r="H41" s="1">
        <f t="shared" si="2"/>
        <v>0</v>
      </c>
      <c r="I41" s="1">
        <f t="shared" si="2"/>
        <v>0</v>
      </c>
      <c r="K41" s="1">
        <f t="shared" si="3"/>
        <v>0</v>
      </c>
    </row>
    <row r="42" spans="1:11" x14ac:dyDescent="0.25">
      <c r="A42" s="10" t="s">
        <v>880</v>
      </c>
      <c r="B42" s="1">
        <f t="shared" si="1"/>
        <v>0.33750000000000002</v>
      </c>
      <c r="C42" s="1">
        <f t="shared" si="1"/>
        <v>0</v>
      </c>
      <c r="D42" s="1">
        <f t="shared" si="1"/>
        <v>0.15</v>
      </c>
      <c r="F42" s="1">
        <f t="shared" si="2"/>
        <v>0.15</v>
      </c>
      <c r="G42" s="1">
        <f t="shared" si="2"/>
        <v>0.35000000000000003</v>
      </c>
      <c r="H42" s="1">
        <f t="shared" si="2"/>
        <v>0.1</v>
      </c>
      <c r="I42" s="1">
        <f t="shared" si="2"/>
        <v>0.05</v>
      </c>
      <c r="K42" s="1">
        <f t="shared" si="3"/>
        <v>0.1</v>
      </c>
    </row>
    <row r="43" spans="1:11" x14ac:dyDescent="0.25">
      <c r="A43" s="10" t="s">
        <v>881</v>
      </c>
      <c r="B43" s="1">
        <f t="shared" si="1"/>
        <v>3.375</v>
      </c>
      <c r="C43" s="1">
        <f t="shared" si="1"/>
        <v>0</v>
      </c>
      <c r="D43" s="1">
        <f t="shared" si="1"/>
        <v>1</v>
      </c>
      <c r="F43" s="1">
        <f t="shared" si="2"/>
        <v>1.5</v>
      </c>
      <c r="G43" s="1">
        <f t="shared" si="2"/>
        <v>2.8000000000000003</v>
      </c>
      <c r="H43" s="1">
        <f t="shared" si="2"/>
        <v>1</v>
      </c>
      <c r="I43" s="1">
        <f t="shared" si="2"/>
        <v>0.5</v>
      </c>
      <c r="K43" s="1">
        <f t="shared" si="3"/>
        <v>1</v>
      </c>
    </row>
    <row r="44" spans="1:11" x14ac:dyDescent="0.25">
      <c r="A44" s="10" t="s">
        <v>882</v>
      </c>
      <c r="B44" s="1">
        <f t="shared" si="1"/>
        <v>6.75</v>
      </c>
      <c r="C44" s="1">
        <f t="shared" si="1"/>
        <v>7.5</v>
      </c>
      <c r="D44" s="1">
        <f t="shared" si="1"/>
        <v>2.5</v>
      </c>
      <c r="F44" s="1">
        <f t="shared" si="2"/>
        <v>3</v>
      </c>
      <c r="G44" s="1">
        <f t="shared" si="2"/>
        <v>7</v>
      </c>
      <c r="H44" s="1">
        <f t="shared" si="2"/>
        <v>2</v>
      </c>
      <c r="I44" s="1">
        <f t="shared" si="2"/>
        <v>1</v>
      </c>
      <c r="K44" s="1">
        <f t="shared" si="3"/>
        <v>2</v>
      </c>
    </row>
    <row r="45" spans="1:11" x14ac:dyDescent="0.25">
      <c r="A45" s="10" t="s">
        <v>883</v>
      </c>
      <c r="B45" s="1">
        <f t="shared" si="1"/>
        <v>13.5</v>
      </c>
      <c r="C45" s="1">
        <f t="shared" si="1"/>
        <v>15</v>
      </c>
      <c r="D45" s="1">
        <f t="shared" si="1"/>
        <v>5</v>
      </c>
      <c r="F45" s="1">
        <f t="shared" si="2"/>
        <v>6</v>
      </c>
      <c r="G45" s="1">
        <f t="shared" si="2"/>
        <v>10.5</v>
      </c>
      <c r="H45" s="1">
        <f t="shared" si="2"/>
        <v>4</v>
      </c>
      <c r="I45" s="1">
        <f t="shared" si="2"/>
        <v>2</v>
      </c>
      <c r="K45" s="1">
        <f t="shared" si="3"/>
        <v>4</v>
      </c>
    </row>
    <row r="46" spans="1:11" x14ac:dyDescent="0.25">
      <c r="A46" s="10" t="s">
        <v>884</v>
      </c>
      <c r="B46" s="1">
        <f t="shared" si="1"/>
        <v>0.67500000000000004</v>
      </c>
      <c r="C46" s="1">
        <f t="shared" si="1"/>
        <v>0.75</v>
      </c>
      <c r="D46" s="1">
        <f t="shared" si="1"/>
        <v>1.5</v>
      </c>
      <c r="F46" s="1">
        <f t="shared" si="2"/>
        <v>0</v>
      </c>
      <c r="G46" s="1">
        <f t="shared" si="2"/>
        <v>0</v>
      </c>
      <c r="H46" s="1">
        <f t="shared" si="2"/>
        <v>0</v>
      </c>
      <c r="I46" s="1">
        <f t="shared" si="2"/>
        <v>0</v>
      </c>
      <c r="K46" s="1">
        <f t="shared" si="3"/>
        <v>0</v>
      </c>
    </row>
    <row r="47" spans="1:11" x14ac:dyDescent="0.25">
      <c r="A47" s="10" t="s">
        <v>885</v>
      </c>
      <c r="B47" s="1">
        <f t="shared" si="1"/>
        <v>0.67500000000000004</v>
      </c>
      <c r="C47" s="1">
        <f t="shared" si="1"/>
        <v>0.75</v>
      </c>
      <c r="D47" s="1">
        <f t="shared" si="1"/>
        <v>2.5</v>
      </c>
      <c r="F47" s="1">
        <f t="shared" si="2"/>
        <v>0.3</v>
      </c>
      <c r="G47" s="1">
        <f t="shared" si="2"/>
        <v>0.70000000000000007</v>
      </c>
      <c r="H47" s="1">
        <f t="shared" si="2"/>
        <v>0.2</v>
      </c>
      <c r="I47" s="1">
        <f t="shared" si="2"/>
        <v>0.1</v>
      </c>
      <c r="K47" s="1">
        <f t="shared" si="3"/>
        <v>0.2</v>
      </c>
    </row>
    <row r="48" spans="1:11" x14ac:dyDescent="0.25">
      <c r="A48" s="10" t="s">
        <v>886</v>
      </c>
      <c r="B48" s="1">
        <f t="shared" si="1"/>
        <v>0.67500000000000004</v>
      </c>
      <c r="C48" s="1">
        <f t="shared" si="1"/>
        <v>0.75</v>
      </c>
      <c r="D48" s="1">
        <f t="shared" si="1"/>
        <v>2.5</v>
      </c>
      <c r="F48" s="1">
        <f t="shared" si="2"/>
        <v>0.3</v>
      </c>
      <c r="G48" s="1">
        <f t="shared" si="2"/>
        <v>0.70000000000000007</v>
      </c>
      <c r="H48" s="1">
        <f t="shared" si="2"/>
        <v>0.2</v>
      </c>
      <c r="I48" s="1">
        <f t="shared" si="2"/>
        <v>0.1</v>
      </c>
      <c r="K48" s="1">
        <f t="shared" si="3"/>
        <v>0.2</v>
      </c>
    </row>
    <row r="49" spans="1:11" x14ac:dyDescent="0.25">
      <c r="A49" s="10" t="s">
        <v>887</v>
      </c>
      <c r="B49" s="1">
        <f t="shared" si="1"/>
        <v>0.67500000000000004</v>
      </c>
      <c r="C49" s="1">
        <f t="shared" si="1"/>
        <v>0.75</v>
      </c>
      <c r="D49" s="1">
        <f t="shared" si="1"/>
        <v>1</v>
      </c>
      <c r="F49" s="1">
        <f t="shared" si="2"/>
        <v>0.3</v>
      </c>
      <c r="G49" s="1">
        <f t="shared" si="2"/>
        <v>0.70000000000000007</v>
      </c>
      <c r="H49" s="1">
        <f t="shared" si="2"/>
        <v>0.2</v>
      </c>
      <c r="I49" s="1">
        <f t="shared" si="2"/>
        <v>0.1</v>
      </c>
      <c r="K49" s="1">
        <f t="shared" si="3"/>
        <v>0.2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8E02A-CC6E-4AA2-9AB8-6B95286EE8C0}">
  <dimension ref="A1:Q53"/>
  <sheetViews>
    <sheetView workbookViewId="0">
      <selection activeCell="H21" sqref="H21"/>
    </sheetView>
  </sheetViews>
  <sheetFormatPr baseColWidth="10" defaultColWidth="13.85546875" defaultRowHeight="15" x14ac:dyDescent="0.25"/>
  <cols>
    <col min="1" max="1" width="34.28515625" style="10" customWidth="1"/>
    <col min="2" max="15" width="13.85546875" style="1"/>
    <col min="16" max="16" width="13.85546875" style="1" customWidth="1"/>
    <col min="17" max="17" width="119.7109375" style="25" customWidth="1"/>
    <col min="18" max="16384" width="13.85546875" style="1"/>
  </cols>
  <sheetData>
    <row r="1" spans="1:17" x14ac:dyDescent="0.25">
      <c r="A1" s="10" t="s">
        <v>635</v>
      </c>
      <c r="B1" s="1" t="s">
        <v>654</v>
      </c>
      <c r="D1" s="1" t="s">
        <v>601</v>
      </c>
      <c r="E1" s="1" t="s">
        <v>602</v>
      </c>
      <c r="F1" s="1" t="s">
        <v>627</v>
      </c>
      <c r="G1" s="1" t="s">
        <v>680</v>
      </c>
      <c r="H1" s="1" t="s">
        <v>674</v>
      </c>
      <c r="I1" s="1" t="s">
        <v>675</v>
      </c>
      <c r="J1" s="1" t="s">
        <v>676</v>
      </c>
      <c r="K1" s="1" t="s">
        <v>776</v>
      </c>
      <c r="L1" s="1" t="s">
        <v>681</v>
      </c>
      <c r="M1" s="1" t="s">
        <v>683</v>
      </c>
      <c r="N1" s="1" t="s">
        <v>682</v>
      </c>
      <c r="Q1" s="25" t="s">
        <v>190</v>
      </c>
    </row>
    <row r="2" spans="1:17" x14ac:dyDescent="0.25">
      <c r="A2" s="10" t="s">
        <v>600</v>
      </c>
      <c r="Q2" s="25" t="s">
        <v>621</v>
      </c>
    </row>
    <row r="3" spans="1:17" x14ac:dyDescent="0.25">
      <c r="A3" s="10" t="s">
        <v>619</v>
      </c>
      <c r="B3" s="1">
        <v>1</v>
      </c>
      <c r="D3" s="1">
        <v>0</v>
      </c>
      <c r="E3" s="1">
        <v>0</v>
      </c>
      <c r="F3" s="1">
        <v>0</v>
      </c>
      <c r="G3" s="1">
        <v>0</v>
      </c>
      <c r="H3" s="1">
        <v>0</v>
      </c>
      <c r="I3" s="1">
        <v>0</v>
      </c>
      <c r="J3" s="1">
        <v>0</v>
      </c>
      <c r="L3" s="1">
        <v>0</v>
      </c>
      <c r="N3" s="1">
        <v>0</v>
      </c>
      <c r="Q3" s="25" t="s">
        <v>620</v>
      </c>
    </row>
    <row r="6" spans="1:17" x14ac:dyDescent="0.25">
      <c r="A6" s="10" t="s">
        <v>655</v>
      </c>
      <c r="B6" s="1">
        <v>1.0000000000000001E-5</v>
      </c>
      <c r="D6" s="1">
        <v>5.0000000000000001E-3</v>
      </c>
      <c r="E6" s="1">
        <v>5.0000000000000001E-3</v>
      </c>
      <c r="Q6" s="25" t="s">
        <v>673</v>
      </c>
    </row>
    <row r="7" spans="1:17" x14ac:dyDescent="0.25">
      <c r="A7" s="10" t="s">
        <v>656</v>
      </c>
      <c r="B7" s="1">
        <v>4.0000000000000001E-3</v>
      </c>
      <c r="D7" s="1">
        <v>0.01</v>
      </c>
      <c r="E7" s="1">
        <v>0.01</v>
      </c>
      <c r="J7" s="1">
        <v>0.1</v>
      </c>
      <c r="L7" s="1">
        <v>0.1</v>
      </c>
    </row>
    <row r="8" spans="1:17" x14ac:dyDescent="0.25">
      <c r="A8" s="10" t="s">
        <v>657</v>
      </c>
      <c r="B8" s="1">
        <v>9.9999999999999995E-8</v>
      </c>
      <c r="D8" s="1">
        <v>2E-3</v>
      </c>
      <c r="E8" s="1">
        <v>2E-3</v>
      </c>
      <c r="L8" s="1">
        <v>0.01</v>
      </c>
      <c r="N8" s="1">
        <v>0.4</v>
      </c>
    </row>
    <row r="9" spans="1:17" x14ac:dyDescent="0.25">
      <c r="A9" s="10" t="s">
        <v>658</v>
      </c>
      <c r="B9" s="1">
        <v>1E-3</v>
      </c>
      <c r="D9" s="1">
        <v>5.0000000000000001E-3</v>
      </c>
      <c r="E9" s="1">
        <v>5.0000000000000001E-3</v>
      </c>
      <c r="I9" s="1">
        <v>0.1</v>
      </c>
      <c r="J9" s="1">
        <v>0.1</v>
      </c>
      <c r="L9" s="1">
        <v>0.1</v>
      </c>
    </row>
    <row r="10" spans="1:17" x14ac:dyDescent="0.25">
      <c r="A10" s="10" t="s">
        <v>659</v>
      </c>
      <c r="B10" s="1">
        <v>7.0000000000000001E-3</v>
      </c>
      <c r="D10" s="1">
        <v>0.01</v>
      </c>
      <c r="E10" s="1">
        <v>0.01</v>
      </c>
      <c r="I10" s="1">
        <v>0.1</v>
      </c>
      <c r="J10" s="1">
        <v>0.1</v>
      </c>
      <c r="L10" s="1">
        <v>0.15</v>
      </c>
    </row>
    <row r="11" spans="1:17" x14ac:dyDescent="0.25">
      <c r="A11" s="10" t="s">
        <v>660</v>
      </c>
      <c r="B11" s="1">
        <v>0.02</v>
      </c>
      <c r="D11" s="1">
        <v>0.02</v>
      </c>
      <c r="E11" s="1">
        <v>0.02</v>
      </c>
      <c r="F11" s="1">
        <v>0.3</v>
      </c>
      <c r="G11" s="1">
        <v>0.3</v>
      </c>
      <c r="H11" s="1">
        <v>0.3</v>
      </c>
      <c r="I11" s="1">
        <v>0.2</v>
      </c>
      <c r="J11" s="1">
        <v>0.15</v>
      </c>
      <c r="L11" s="1">
        <v>0.2</v>
      </c>
    </row>
    <row r="12" spans="1:17" x14ac:dyDescent="0.25">
      <c r="A12" s="10" t="s">
        <v>661</v>
      </c>
      <c r="B12" s="1">
        <v>3.5000000000000003E-2</v>
      </c>
      <c r="D12" s="1">
        <v>0.04</v>
      </c>
      <c r="E12" s="1">
        <v>0.04</v>
      </c>
      <c r="F12" s="1">
        <v>0.4</v>
      </c>
      <c r="G12" s="1">
        <v>0.4</v>
      </c>
      <c r="H12" s="1">
        <v>0.4</v>
      </c>
      <c r="I12" s="1">
        <v>0.3</v>
      </c>
      <c r="J12" s="1">
        <v>0.2</v>
      </c>
      <c r="L12" s="1">
        <v>0.15</v>
      </c>
    </row>
    <row r="13" spans="1:17" x14ac:dyDescent="0.25">
      <c r="A13" s="10" t="s">
        <v>662</v>
      </c>
      <c r="B13" s="1">
        <v>0.08</v>
      </c>
      <c r="D13" s="1">
        <v>0.1</v>
      </c>
      <c r="E13" s="1">
        <v>0.1</v>
      </c>
      <c r="F13" s="1">
        <v>0.3</v>
      </c>
      <c r="G13" s="1">
        <v>0.3</v>
      </c>
      <c r="H13" s="1">
        <v>0.3</v>
      </c>
      <c r="I13" s="1">
        <v>0.2</v>
      </c>
      <c r="J13" s="1">
        <v>0.15</v>
      </c>
      <c r="L13" s="1">
        <v>0.1</v>
      </c>
    </row>
    <row r="14" spans="1:17" x14ac:dyDescent="0.25">
      <c r="A14" s="10" t="s">
        <v>663</v>
      </c>
      <c r="B14" s="1">
        <v>0.8</v>
      </c>
      <c r="D14" s="1">
        <v>0.5</v>
      </c>
      <c r="E14" s="1">
        <v>0.5</v>
      </c>
      <c r="I14" s="1">
        <v>0.1</v>
      </c>
      <c r="J14" s="1">
        <v>0.2</v>
      </c>
      <c r="L14" s="1">
        <v>0.05</v>
      </c>
    </row>
    <row r="15" spans="1:17" x14ac:dyDescent="0.25">
      <c r="A15" s="10" t="s">
        <v>664</v>
      </c>
      <c r="B15" s="1">
        <v>1.9999999999999999E-6</v>
      </c>
      <c r="D15" s="1">
        <v>1E-3</v>
      </c>
      <c r="E15" s="1">
        <v>1E-3</v>
      </c>
      <c r="M15" s="1">
        <v>0.1</v>
      </c>
      <c r="Q15" s="25" t="s">
        <v>684</v>
      </c>
    </row>
    <row r="16" spans="1:17" x14ac:dyDescent="0.25">
      <c r="A16" s="10" t="s">
        <v>665</v>
      </c>
      <c r="D16" s="1">
        <v>0</v>
      </c>
      <c r="E16" s="1">
        <v>0</v>
      </c>
    </row>
    <row r="17" spans="1:14" x14ac:dyDescent="0.25">
      <c r="A17" s="10" t="s">
        <v>666</v>
      </c>
      <c r="D17" s="1">
        <v>0.01</v>
      </c>
      <c r="E17" s="1">
        <v>0.01</v>
      </c>
      <c r="L17" s="1">
        <v>0.1</v>
      </c>
      <c r="M17" s="1">
        <v>0.9</v>
      </c>
    </row>
    <row r="18" spans="1:14" x14ac:dyDescent="0.25">
      <c r="A18" s="10" t="s">
        <v>667</v>
      </c>
      <c r="B18" s="1">
        <v>0.05</v>
      </c>
      <c r="D18" s="1">
        <v>0.02</v>
      </c>
      <c r="E18" s="1">
        <v>0.02</v>
      </c>
      <c r="L18" s="1">
        <v>0.04</v>
      </c>
    </row>
    <row r="19" spans="1:14" x14ac:dyDescent="0.25">
      <c r="A19" s="10" t="s">
        <v>668</v>
      </c>
      <c r="D19" s="1">
        <v>2E-3</v>
      </c>
      <c r="E19" s="1">
        <v>2E-3</v>
      </c>
    </row>
    <row r="20" spans="1:14" x14ac:dyDescent="0.25">
      <c r="A20" s="10" t="s">
        <v>669</v>
      </c>
      <c r="K20" s="1">
        <v>0.8</v>
      </c>
    </row>
    <row r="21" spans="1:14" x14ac:dyDescent="0.25">
      <c r="A21" s="10" t="s">
        <v>670</v>
      </c>
      <c r="K21" s="1">
        <v>0.2</v>
      </c>
    </row>
    <row r="22" spans="1:14" x14ac:dyDescent="0.25">
      <c r="A22" s="10" t="s">
        <v>671</v>
      </c>
      <c r="B22" s="1">
        <v>6.4000000000000005E-4</v>
      </c>
      <c r="N22" s="1">
        <v>0.6</v>
      </c>
    </row>
    <row r="23" spans="1:14" x14ac:dyDescent="0.25">
      <c r="A23" s="10" t="s">
        <v>672</v>
      </c>
    </row>
    <row r="27" spans="1:14" s="25" customFormat="1" x14ac:dyDescent="0.25">
      <c r="A27" s="25" t="s">
        <v>190</v>
      </c>
    </row>
    <row r="31" spans="1:14" x14ac:dyDescent="0.25">
      <c r="B31" s="1">
        <f>IF(SUM(B5:B23)&lt;&gt;1,SUM(B5:B23),"")</f>
        <v>0.99765210000000004</v>
      </c>
      <c r="D31" s="1">
        <f t="shared" ref="D31:N31" si="0">IF(SUM(D5:D23)&lt;&gt;1,SUM(D5:D23),"")</f>
        <v>0.72499999999999998</v>
      </c>
      <c r="E31" s="1">
        <f t="shared" si="0"/>
        <v>0.72499999999999998</v>
      </c>
      <c r="F31" s="1" t="str">
        <f t="shared" si="0"/>
        <v/>
      </c>
      <c r="G31" s="1" t="str">
        <f t="shared" si="0"/>
        <v/>
      </c>
      <c r="H31" s="1" t="str">
        <f t="shared" si="0"/>
        <v/>
      </c>
      <c r="I31" s="1" t="str">
        <f t="shared" si="0"/>
        <v/>
      </c>
      <c r="J31" s="1" t="str">
        <f t="shared" si="0"/>
        <v/>
      </c>
      <c r="K31" s="1" t="str">
        <f t="shared" si="0"/>
        <v/>
      </c>
      <c r="L31" s="1" t="str">
        <f t="shared" si="0"/>
        <v/>
      </c>
      <c r="M31" s="1" t="str">
        <f t="shared" si="0"/>
        <v/>
      </c>
      <c r="N31" s="1" t="str">
        <f t="shared" si="0"/>
        <v/>
      </c>
    </row>
    <row r="34" spans="1:14" x14ac:dyDescent="0.25">
      <c r="A34" s="10" t="s">
        <v>762</v>
      </c>
      <c r="B34" s="26">
        <v>1000</v>
      </c>
    </row>
    <row r="36" spans="1:14" x14ac:dyDescent="0.25">
      <c r="A36" s="10" t="s">
        <v>655</v>
      </c>
      <c r="B36" s="1">
        <f t="shared" ref="B36:N51" si="1">IF(B6*$B$34&lt;&gt;0, B6*$B$34, "")</f>
        <v>0.01</v>
      </c>
      <c r="C36" s="1" t="str">
        <f t="shared" si="1"/>
        <v/>
      </c>
      <c r="D36" s="1">
        <f t="shared" si="1"/>
        <v>5</v>
      </c>
      <c r="E36" s="1">
        <f t="shared" si="1"/>
        <v>5</v>
      </c>
      <c r="F36" s="1" t="str">
        <f t="shared" si="1"/>
        <v/>
      </c>
      <c r="G36" s="1" t="str">
        <f t="shared" si="1"/>
        <v/>
      </c>
      <c r="H36" s="1" t="str">
        <f t="shared" si="1"/>
        <v/>
      </c>
      <c r="I36" s="1" t="str">
        <f t="shared" si="1"/>
        <v/>
      </c>
      <c r="J36" s="1" t="str">
        <f t="shared" si="1"/>
        <v/>
      </c>
      <c r="K36" s="1" t="str">
        <f t="shared" si="1"/>
        <v/>
      </c>
      <c r="L36" s="1" t="str">
        <f t="shared" si="1"/>
        <v/>
      </c>
      <c r="M36" s="1" t="str">
        <f t="shared" si="1"/>
        <v/>
      </c>
      <c r="N36" s="1" t="str">
        <f t="shared" si="1"/>
        <v/>
      </c>
    </row>
    <row r="37" spans="1:14" x14ac:dyDescent="0.25">
      <c r="A37" s="10" t="s">
        <v>656</v>
      </c>
      <c r="B37" s="1">
        <f t="shared" si="1"/>
        <v>4</v>
      </c>
      <c r="C37" s="1" t="str">
        <f t="shared" si="1"/>
        <v/>
      </c>
      <c r="D37" s="1">
        <f t="shared" si="1"/>
        <v>10</v>
      </c>
      <c r="E37" s="1">
        <f t="shared" si="1"/>
        <v>10</v>
      </c>
      <c r="F37" s="1" t="str">
        <f t="shared" si="1"/>
        <v/>
      </c>
      <c r="G37" s="1" t="str">
        <f t="shared" si="1"/>
        <v/>
      </c>
      <c r="H37" s="1" t="str">
        <f t="shared" si="1"/>
        <v/>
      </c>
      <c r="I37" s="1" t="str">
        <f t="shared" si="1"/>
        <v/>
      </c>
      <c r="J37" s="1">
        <f t="shared" si="1"/>
        <v>100</v>
      </c>
      <c r="K37" s="1" t="str">
        <f t="shared" si="1"/>
        <v/>
      </c>
      <c r="L37" s="1">
        <f t="shared" si="1"/>
        <v>100</v>
      </c>
      <c r="M37" s="1" t="str">
        <f t="shared" si="1"/>
        <v/>
      </c>
      <c r="N37" s="1" t="str">
        <f t="shared" si="1"/>
        <v/>
      </c>
    </row>
    <row r="38" spans="1:14" x14ac:dyDescent="0.25">
      <c r="A38" s="10" t="s">
        <v>657</v>
      </c>
      <c r="B38" s="1">
        <f t="shared" si="1"/>
        <v>9.9999999999999991E-5</v>
      </c>
      <c r="C38" s="1" t="str">
        <f t="shared" si="1"/>
        <v/>
      </c>
      <c r="D38" s="1">
        <f t="shared" si="1"/>
        <v>2</v>
      </c>
      <c r="E38" s="1">
        <f t="shared" si="1"/>
        <v>2</v>
      </c>
      <c r="F38" s="1" t="str">
        <f t="shared" si="1"/>
        <v/>
      </c>
      <c r="G38" s="1" t="str">
        <f t="shared" si="1"/>
        <v/>
      </c>
      <c r="H38" s="1" t="str">
        <f t="shared" si="1"/>
        <v/>
      </c>
      <c r="I38" s="1" t="str">
        <f t="shared" si="1"/>
        <v/>
      </c>
      <c r="J38" s="1" t="str">
        <f t="shared" si="1"/>
        <v/>
      </c>
      <c r="K38" s="1" t="str">
        <f t="shared" si="1"/>
        <v/>
      </c>
      <c r="L38" s="1">
        <f t="shared" si="1"/>
        <v>10</v>
      </c>
      <c r="M38" s="1" t="str">
        <f t="shared" si="1"/>
        <v/>
      </c>
      <c r="N38" s="1">
        <f t="shared" si="1"/>
        <v>400</v>
      </c>
    </row>
    <row r="39" spans="1:14" x14ac:dyDescent="0.25">
      <c r="A39" s="10" t="s">
        <v>658</v>
      </c>
      <c r="B39" s="1">
        <f t="shared" si="1"/>
        <v>1</v>
      </c>
      <c r="C39" s="1" t="str">
        <f t="shared" si="1"/>
        <v/>
      </c>
      <c r="D39" s="1">
        <f t="shared" si="1"/>
        <v>5</v>
      </c>
      <c r="E39" s="1">
        <f t="shared" si="1"/>
        <v>5</v>
      </c>
      <c r="F39" s="1" t="str">
        <f t="shared" si="1"/>
        <v/>
      </c>
      <c r="G39" s="1" t="str">
        <f t="shared" si="1"/>
        <v/>
      </c>
      <c r="H39" s="1" t="str">
        <f t="shared" si="1"/>
        <v/>
      </c>
      <c r="I39" s="1">
        <f t="shared" si="1"/>
        <v>100</v>
      </c>
      <c r="J39" s="1">
        <f t="shared" si="1"/>
        <v>100</v>
      </c>
      <c r="K39" s="1" t="str">
        <f t="shared" si="1"/>
        <v/>
      </c>
      <c r="L39" s="1">
        <f t="shared" si="1"/>
        <v>100</v>
      </c>
      <c r="M39" s="1" t="str">
        <f t="shared" si="1"/>
        <v/>
      </c>
      <c r="N39" s="1" t="str">
        <f t="shared" si="1"/>
        <v/>
      </c>
    </row>
    <row r="40" spans="1:14" x14ac:dyDescent="0.25">
      <c r="A40" s="10" t="s">
        <v>659</v>
      </c>
      <c r="B40" s="1">
        <f t="shared" si="1"/>
        <v>7</v>
      </c>
      <c r="C40" s="1" t="str">
        <f t="shared" si="1"/>
        <v/>
      </c>
      <c r="D40" s="1">
        <f t="shared" si="1"/>
        <v>10</v>
      </c>
      <c r="E40" s="1">
        <f t="shared" si="1"/>
        <v>10</v>
      </c>
      <c r="F40" s="1" t="str">
        <f t="shared" si="1"/>
        <v/>
      </c>
      <c r="G40" s="1" t="str">
        <f t="shared" si="1"/>
        <v/>
      </c>
      <c r="H40" s="1" t="str">
        <f t="shared" si="1"/>
        <v/>
      </c>
      <c r="I40" s="1">
        <f t="shared" si="1"/>
        <v>100</v>
      </c>
      <c r="J40" s="1">
        <f t="shared" si="1"/>
        <v>100</v>
      </c>
      <c r="K40" s="1" t="str">
        <f t="shared" si="1"/>
        <v/>
      </c>
      <c r="L40" s="1">
        <f t="shared" si="1"/>
        <v>150</v>
      </c>
      <c r="M40" s="1" t="str">
        <f t="shared" si="1"/>
        <v/>
      </c>
      <c r="N40" s="1" t="str">
        <f t="shared" si="1"/>
        <v/>
      </c>
    </row>
    <row r="41" spans="1:14" x14ac:dyDescent="0.25">
      <c r="A41" s="10" t="s">
        <v>660</v>
      </c>
      <c r="B41" s="1">
        <f t="shared" si="1"/>
        <v>20</v>
      </c>
      <c r="C41" s="1" t="str">
        <f t="shared" si="1"/>
        <v/>
      </c>
      <c r="D41" s="1">
        <f t="shared" si="1"/>
        <v>20</v>
      </c>
      <c r="E41" s="1">
        <f t="shared" si="1"/>
        <v>20</v>
      </c>
      <c r="F41" s="1">
        <f t="shared" si="1"/>
        <v>300</v>
      </c>
      <c r="G41" s="1">
        <f t="shared" si="1"/>
        <v>300</v>
      </c>
      <c r="H41" s="1">
        <f t="shared" si="1"/>
        <v>300</v>
      </c>
      <c r="I41" s="1">
        <f t="shared" si="1"/>
        <v>200</v>
      </c>
      <c r="J41" s="1">
        <f t="shared" si="1"/>
        <v>150</v>
      </c>
      <c r="K41" s="1" t="str">
        <f t="shared" si="1"/>
        <v/>
      </c>
      <c r="L41" s="1">
        <f t="shared" si="1"/>
        <v>200</v>
      </c>
      <c r="M41" s="1" t="str">
        <f t="shared" si="1"/>
        <v/>
      </c>
      <c r="N41" s="1" t="str">
        <f t="shared" si="1"/>
        <v/>
      </c>
    </row>
    <row r="42" spans="1:14" x14ac:dyDescent="0.25">
      <c r="A42" s="10" t="s">
        <v>661</v>
      </c>
      <c r="B42" s="1">
        <f t="shared" si="1"/>
        <v>35</v>
      </c>
      <c r="C42" s="1" t="str">
        <f t="shared" si="1"/>
        <v/>
      </c>
      <c r="D42" s="1">
        <f t="shared" si="1"/>
        <v>40</v>
      </c>
      <c r="E42" s="1">
        <f t="shared" si="1"/>
        <v>40</v>
      </c>
      <c r="F42" s="1">
        <f t="shared" si="1"/>
        <v>400</v>
      </c>
      <c r="G42" s="1">
        <f t="shared" si="1"/>
        <v>400</v>
      </c>
      <c r="H42" s="1">
        <f>IF(H12*$B$34&lt;&gt;0, H12*$B$34, "")</f>
        <v>400</v>
      </c>
      <c r="I42" s="1">
        <f t="shared" si="1"/>
        <v>300</v>
      </c>
      <c r="J42" s="1">
        <f t="shared" si="1"/>
        <v>200</v>
      </c>
      <c r="K42" s="1" t="str">
        <f t="shared" si="1"/>
        <v/>
      </c>
      <c r="L42" s="1">
        <f t="shared" si="1"/>
        <v>150</v>
      </c>
      <c r="M42" s="1" t="str">
        <f t="shared" si="1"/>
        <v/>
      </c>
      <c r="N42" s="1" t="str">
        <f t="shared" si="1"/>
        <v/>
      </c>
    </row>
    <row r="43" spans="1:14" x14ac:dyDescent="0.25">
      <c r="A43" s="10" t="s">
        <v>662</v>
      </c>
      <c r="B43" s="1">
        <f t="shared" si="1"/>
        <v>80</v>
      </c>
      <c r="C43" s="1" t="str">
        <f t="shared" si="1"/>
        <v/>
      </c>
      <c r="D43" s="1">
        <f t="shared" si="1"/>
        <v>100</v>
      </c>
      <c r="E43" s="1">
        <f t="shared" si="1"/>
        <v>100</v>
      </c>
      <c r="F43" s="1">
        <f t="shared" si="1"/>
        <v>300</v>
      </c>
      <c r="G43" s="1">
        <f t="shared" si="1"/>
        <v>300</v>
      </c>
      <c r="H43" s="1">
        <f t="shared" si="1"/>
        <v>300</v>
      </c>
      <c r="I43" s="1">
        <f t="shared" si="1"/>
        <v>200</v>
      </c>
      <c r="J43" s="1">
        <f t="shared" si="1"/>
        <v>150</v>
      </c>
      <c r="K43" s="1" t="str">
        <f t="shared" si="1"/>
        <v/>
      </c>
      <c r="L43" s="1">
        <f t="shared" si="1"/>
        <v>100</v>
      </c>
      <c r="M43" s="1" t="str">
        <f t="shared" si="1"/>
        <v/>
      </c>
      <c r="N43" s="1" t="str">
        <f t="shared" si="1"/>
        <v/>
      </c>
    </row>
    <row r="44" spans="1:14" x14ac:dyDescent="0.25">
      <c r="A44" s="10" t="s">
        <v>663</v>
      </c>
      <c r="B44" s="1">
        <f t="shared" si="1"/>
        <v>800</v>
      </c>
      <c r="C44" s="1" t="str">
        <f t="shared" si="1"/>
        <v/>
      </c>
      <c r="D44" s="1">
        <f t="shared" si="1"/>
        <v>500</v>
      </c>
      <c r="E44" s="1">
        <f t="shared" si="1"/>
        <v>500</v>
      </c>
      <c r="F44" s="1" t="str">
        <f t="shared" si="1"/>
        <v/>
      </c>
      <c r="G44" s="1" t="str">
        <f t="shared" si="1"/>
        <v/>
      </c>
      <c r="H44" s="1" t="str">
        <f t="shared" si="1"/>
        <v/>
      </c>
      <c r="I44" s="1">
        <f t="shared" si="1"/>
        <v>100</v>
      </c>
      <c r="J44" s="1">
        <f t="shared" si="1"/>
        <v>200</v>
      </c>
      <c r="K44" s="1" t="str">
        <f t="shared" si="1"/>
        <v/>
      </c>
      <c r="L44" s="1">
        <f t="shared" si="1"/>
        <v>50</v>
      </c>
      <c r="M44" s="1" t="str">
        <f t="shared" si="1"/>
        <v/>
      </c>
      <c r="N44" s="1" t="str">
        <f t="shared" si="1"/>
        <v/>
      </c>
    </row>
    <row r="45" spans="1:14" x14ac:dyDescent="0.25">
      <c r="A45" s="10" t="s">
        <v>664</v>
      </c>
      <c r="B45" s="1">
        <f t="shared" si="1"/>
        <v>2E-3</v>
      </c>
      <c r="C45" s="1" t="str">
        <f t="shared" si="1"/>
        <v/>
      </c>
      <c r="D45" s="1">
        <f t="shared" si="1"/>
        <v>1</v>
      </c>
      <c r="E45" s="1">
        <f t="shared" si="1"/>
        <v>1</v>
      </c>
      <c r="F45" s="1" t="str">
        <f t="shared" si="1"/>
        <v/>
      </c>
      <c r="G45" s="1" t="str">
        <f t="shared" si="1"/>
        <v/>
      </c>
      <c r="H45" s="1" t="str">
        <f t="shared" si="1"/>
        <v/>
      </c>
      <c r="I45" s="1" t="str">
        <f t="shared" si="1"/>
        <v/>
      </c>
      <c r="J45" s="1" t="str">
        <f t="shared" si="1"/>
        <v/>
      </c>
      <c r="K45" s="1" t="str">
        <f t="shared" si="1"/>
        <v/>
      </c>
      <c r="L45" s="1" t="str">
        <f t="shared" si="1"/>
        <v/>
      </c>
      <c r="M45" s="1">
        <f t="shared" si="1"/>
        <v>100</v>
      </c>
      <c r="N45" s="1" t="str">
        <f t="shared" si="1"/>
        <v/>
      </c>
    </row>
    <row r="46" spans="1:14" x14ac:dyDescent="0.25">
      <c r="A46" s="10" t="s">
        <v>665</v>
      </c>
      <c r="B46" s="1" t="str">
        <f t="shared" si="1"/>
        <v/>
      </c>
      <c r="C46" s="1" t="str">
        <f t="shared" si="1"/>
        <v/>
      </c>
      <c r="D46" s="1" t="str">
        <f t="shared" si="1"/>
        <v/>
      </c>
      <c r="E46" s="1" t="str">
        <f t="shared" si="1"/>
        <v/>
      </c>
      <c r="F46" s="1" t="str">
        <f t="shared" si="1"/>
        <v/>
      </c>
      <c r="G46" s="1" t="str">
        <f t="shared" si="1"/>
        <v/>
      </c>
      <c r="H46" s="1" t="str">
        <f t="shared" si="1"/>
        <v/>
      </c>
      <c r="I46" s="1" t="str">
        <f t="shared" si="1"/>
        <v/>
      </c>
      <c r="J46" s="1" t="str">
        <f t="shared" si="1"/>
        <v/>
      </c>
      <c r="K46" s="1" t="str">
        <f t="shared" si="1"/>
        <v/>
      </c>
      <c r="L46" s="1" t="str">
        <f t="shared" si="1"/>
        <v/>
      </c>
      <c r="M46" s="1" t="str">
        <f t="shared" si="1"/>
        <v/>
      </c>
      <c r="N46" s="1" t="str">
        <f t="shared" si="1"/>
        <v/>
      </c>
    </row>
    <row r="47" spans="1:14" x14ac:dyDescent="0.25">
      <c r="A47" s="10" t="s">
        <v>666</v>
      </c>
      <c r="B47" s="1" t="str">
        <f t="shared" si="1"/>
        <v/>
      </c>
      <c r="C47" s="1" t="str">
        <f t="shared" si="1"/>
        <v/>
      </c>
      <c r="D47" s="1">
        <f t="shared" si="1"/>
        <v>10</v>
      </c>
      <c r="E47" s="1">
        <f t="shared" si="1"/>
        <v>10</v>
      </c>
      <c r="F47" s="1" t="str">
        <f t="shared" si="1"/>
        <v/>
      </c>
      <c r="G47" s="1" t="str">
        <f t="shared" si="1"/>
        <v/>
      </c>
      <c r="H47" s="1" t="str">
        <f t="shared" si="1"/>
        <v/>
      </c>
      <c r="I47" s="1" t="str">
        <f t="shared" si="1"/>
        <v/>
      </c>
      <c r="J47" s="1" t="str">
        <f t="shared" si="1"/>
        <v/>
      </c>
      <c r="K47" s="1" t="str">
        <f t="shared" si="1"/>
        <v/>
      </c>
      <c r="L47" s="1">
        <f t="shared" si="1"/>
        <v>100</v>
      </c>
      <c r="M47" s="1">
        <f t="shared" si="1"/>
        <v>900</v>
      </c>
      <c r="N47" s="1" t="str">
        <f t="shared" si="1"/>
        <v/>
      </c>
    </row>
    <row r="48" spans="1:14" x14ac:dyDescent="0.25">
      <c r="A48" s="10" t="s">
        <v>667</v>
      </c>
      <c r="B48" s="1">
        <f t="shared" si="1"/>
        <v>50</v>
      </c>
      <c r="C48" s="1" t="str">
        <f t="shared" si="1"/>
        <v/>
      </c>
      <c r="D48" s="1">
        <f t="shared" si="1"/>
        <v>20</v>
      </c>
      <c r="E48" s="1">
        <f t="shared" si="1"/>
        <v>20</v>
      </c>
      <c r="F48" s="1" t="str">
        <f t="shared" si="1"/>
        <v/>
      </c>
      <c r="G48" s="1" t="str">
        <f t="shared" si="1"/>
        <v/>
      </c>
      <c r="H48" s="1" t="str">
        <f t="shared" si="1"/>
        <v/>
      </c>
      <c r="I48" s="1" t="str">
        <f t="shared" si="1"/>
        <v/>
      </c>
      <c r="J48" s="1" t="str">
        <f t="shared" si="1"/>
        <v/>
      </c>
      <c r="K48" s="1" t="str">
        <f t="shared" si="1"/>
        <v/>
      </c>
      <c r="L48" s="1">
        <f t="shared" si="1"/>
        <v>40</v>
      </c>
      <c r="M48" s="1" t="str">
        <f t="shared" si="1"/>
        <v/>
      </c>
      <c r="N48" s="1" t="str">
        <f t="shared" si="1"/>
        <v/>
      </c>
    </row>
    <row r="49" spans="1:14" x14ac:dyDescent="0.25">
      <c r="A49" s="10" t="s">
        <v>668</v>
      </c>
      <c r="B49" s="1" t="str">
        <f t="shared" si="1"/>
        <v/>
      </c>
      <c r="C49" s="1" t="str">
        <f t="shared" si="1"/>
        <v/>
      </c>
      <c r="D49" s="1">
        <f t="shared" si="1"/>
        <v>2</v>
      </c>
      <c r="E49" s="1">
        <f t="shared" si="1"/>
        <v>2</v>
      </c>
      <c r="F49" s="1" t="str">
        <f t="shared" si="1"/>
        <v/>
      </c>
      <c r="G49" s="1" t="str">
        <f t="shared" si="1"/>
        <v/>
      </c>
      <c r="H49" s="1" t="str">
        <f t="shared" si="1"/>
        <v/>
      </c>
      <c r="I49" s="1" t="str">
        <f t="shared" si="1"/>
        <v/>
      </c>
      <c r="J49" s="1" t="str">
        <f t="shared" si="1"/>
        <v/>
      </c>
      <c r="K49" s="1" t="str">
        <f t="shared" si="1"/>
        <v/>
      </c>
      <c r="L49" s="1" t="str">
        <f t="shared" si="1"/>
        <v/>
      </c>
      <c r="M49" s="1" t="str">
        <f t="shared" si="1"/>
        <v/>
      </c>
      <c r="N49" s="1" t="str">
        <f t="shared" si="1"/>
        <v/>
      </c>
    </row>
    <row r="50" spans="1:14" x14ac:dyDescent="0.25">
      <c r="A50" s="10" t="s">
        <v>669</v>
      </c>
      <c r="B50" s="1" t="str">
        <f t="shared" si="1"/>
        <v/>
      </c>
      <c r="C50" s="1" t="str">
        <f t="shared" si="1"/>
        <v/>
      </c>
      <c r="D50" s="1" t="str">
        <f t="shared" si="1"/>
        <v/>
      </c>
      <c r="E50" s="1" t="str">
        <f t="shared" si="1"/>
        <v/>
      </c>
      <c r="F50" s="1" t="str">
        <f t="shared" si="1"/>
        <v/>
      </c>
      <c r="G50" s="1" t="str">
        <f t="shared" si="1"/>
        <v/>
      </c>
      <c r="H50" s="1" t="str">
        <f t="shared" si="1"/>
        <v/>
      </c>
      <c r="I50" s="1" t="str">
        <f t="shared" si="1"/>
        <v/>
      </c>
      <c r="J50" s="1" t="str">
        <f t="shared" si="1"/>
        <v/>
      </c>
      <c r="K50" s="1">
        <f t="shared" si="1"/>
        <v>800</v>
      </c>
      <c r="L50" s="1" t="str">
        <f t="shared" si="1"/>
        <v/>
      </c>
      <c r="M50" s="1" t="str">
        <f t="shared" si="1"/>
        <v/>
      </c>
      <c r="N50" s="1" t="str">
        <f t="shared" si="1"/>
        <v/>
      </c>
    </row>
    <row r="51" spans="1:14" x14ac:dyDescent="0.25">
      <c r="A51" s="10" t="s">
        <v>670</v>
      </c>
      <c r="B51" s="1" t="str">
        <f t="shared" si="1"/>
        <v/>
      </c>
      <c r="C51" s="1" t="str">
        <f t="shared" si="1"/>
        <v/>
      </c>
      <c r="D51" s="1" t="str">
        <f t="shared" si="1"/>
        <v/>
      </c>
      <c r="E51" s="1" t="str">
        <f t="shared" si="1"/>
        <v/>
      </c>
      <c r="F51" s="1" t="str">
        <f t="shared" si="1"/>
        <v/>
      </c>
      <c r="G51" s="1" t="str">
        <f t="shared" si="1"/>
        <v/>
      </c>
      <c r="H51" s="1" t="str">
        <f t="shared" si="1"/>
        <v/>
      </c>
      <c r="I51" s="1" t="str">
        <f t="shared" si="1"/>
        <v/>
      </c>
      <c r="J51" s="1" t="str">
        <f t="shared" si="1"/>
        <v/>
      </c>
      <c r="K51" s="1">
        <f t="shared" si="1"/>
        <v>200</v>
      </c>
      <c r="L51" s="1" t="str">
        <f t="shared" si="1"/>
        <v/>
      </c>
      <c r="M51" s="1" t="str">
        <f t="shared" si="1"/>
        <v/>
      </c>
      <c r="N51" s="1" t="str">
        <f t="shared" si="1"/>
        <v/>
      </c>
    </row>
    <row r="52" spans="1:14" x14ac:dyDescent="0.25">
      <c r="A52" s="10" t="s">
        <v>671</v>
      </c>
      <c r="B52" s="1">
        <f t="shared" ref="B52:J53" si="2">IF(B22*$B$34&lt;&gt;0, B22*$B$34, "")</f>
        <v>0.64</v>
      </c>
      <c r="C52" s="1" t="str">
        <f t="shared" si="2"/>
        <v/>
      </c>
      <c r="D52" s="1" t="str">
        <f t="shared" si="2"/>
        <v/>
      </c>
      <c r="E52" s="1" t="str">
        <f t="shared" si="2"/>
        <v/>
      </c>
      <c r="F52" s="1" t="str">
        <f t="shared" si="2"/>
        <v/>
      </c>
      <c r="G52" s="1" t="str">
        <f t="shared" si="2"/>
        <v/>
      </c>
      <c r="H52" s="1" t="str">
        <f t="shared" si="2"/>
        <v/>
      </c>
      <c r="I52" s="1" t="str">
        <f t="shared" si="2"/>
        <v/>
      </c>
      <c r="J52" s="1" t="str">
        <f t="shared" si="2"/>
        <v/>
      </c>
      <c r="K52" s="1" t="str">
        <f>IF(K22*$B$34&lt;&gt;0, K22*$B$34, "")</f>
        <v/>
      </c>
      <c r="L52" s="1" t="str">
        <f t="shared" ref="L52:N53" si="3">IF(L22*$B$34&lt;&gt;0, L22*$B$34, "")</f>
        <v/>
      </c>
      <c r="M52" s="1" t="str">
        <f t="shared" si="3"/>
        <v/>
      </c>
      <c r="N52" s="1">
        <f t="shared" si="3"/>
        <v>600</v>
      </c>
    </row>
    <row r="53" spans="1:14" x14ac:dyDescent="0.25">
      <c r="A53" s="10" t="s">
        <v>672</v>
      </c>
      <c r="B53" s="1" t="str">
        <f t="shared" si="2"/>
        <v/>
      </c>
      <c r="C53" s="1" t="str">
        <f t="shared" si="2"/>
        <v/>
      </c>
      <c r="D53" s="1" t="str">
        <f t="shared" si="2"/>
        <v/>
      </c>
      <c r="E53" s="1" t="str">
        <f t="shared" si="2"/>
        <v/>
      </c>
      <c r="F53" s="1" t="str">
        <f t="shared" si="2"/>
        <v/>
      </c>
      <c r="G53" s="1" t="str">
        <f t="shared" si="2"/>
        <v/>
      </c>
      <c r="H53" s="1" t="str">
        <f t="shared" si="2"/>
        <v/>
      </c>
      <c r="I53" s="1" t="str">
        <f t="shared" si="2"/>
        <v/>
      </c>
      <c r="J53" s="1" t="str">
        <f t="shared" si="2"/>
        <v/>
      </c>
      <c r="K53" s="1" t="str">
        <f>IF(K23*$B$34&lt;&gt;0, K23*$B$34, "")</f>
        <v/>
      </c>
      <c r="L53" s="1" t="str">
        <f t="shared" si="3"/>
        <v/>
      </c>
      <c r="M53" s="1" t="str">
        <f t="shared" si="3"/>
        <v/>
      </c>
      <c r="N53" s="1" t="str">
        <f t="shared" si="3"/>
        <v/>
      </c>
    </row>
  </sheetData>
  <conditionalFormatting sqref="B6:P25">
    <cfRule type="colorScale" priority="1">
      <colorScale>
        <cfvo type="min"/>
        <cfvo type="num" val="0.25"/>
        <cfvo type="num" val="0.5"/>
        <color theme="5" tint="-0.499984740745262"/>
        <color theme="7" tint="-0.249977111117893"/>
        <color theme="9" tint="-0.499984740745262"/>
      </colorScale>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E8EA3-1B3E-49AE-A55E-4ECE414BACF3}">
  <dimension ref="A1:U35"/>
  <sheetViews>
    <sheetView workbookViewId="0">
      <selection activeCell="G30" sqref="G30"/>
    </sheetView>
  </sheetViews>
  <sheetFormatPr baseColWidth="10" defaultColWidth="13.85546875" defaultRowHeight="15" x14ac:dyDescent="0.25"/>
  <cols>
    <col min="1" max="1" width="19.7109375" style="10" customWidth="1"/>
    <col min="2" max="20" width="13.85546875" style="1"/>
    <col min="21" max="21" width="119.7109375" style="1" customWidth="1"/>
    <col min="22" max="16384" width="13.85546875" style="1"/>
  </cols>
  <sheetData>
    <row r="1" spans="1:21" x14ac:dyDescent="0.25">
      <c r="A1" s="10" t="s">
        <v>747</v>
      </c>
      <c r="B1" s="1" t="s">
        <v>645</v>
      </c>
      <c r="C1" s="1" t="s">
        <v>643</v>
      </c>
      <c r="D1" s="1" t="s">
        <v>651</v>
      </c>
      <c r="E1" s="1" t="s">
        <v>636</v>
      </c>
      <c r="F1" s="1" t="s">
        <v>637</v>
      </c>
      <c r="G1" s="1" t="s">
        <v>638</v>
      </c>
      <c r="H1" s="1" t="s">
        <v>639</v>
      </c>
      <c r="I1" s="1" t="s">
        <v>640</v>
      </c>
      <c r="J1" s="1" t="s">
        <v>641</v>
      </c>
      <c r="K1" s="1" t="s">
        <v>642</v>
      </c>
      <c r="L1" s="1" t="s">
        <v>649</v>
      </c>
      <c r="M1" s="1" t="s">
        <v>652</v>
      </c>
      <c r="N1" s="1" t="s">
        <v>644</v>
      </c>
      <c r="O1" s="1" t="s">
        <v>646</v>
      </c>
      <c r="P1" s="1" t="s">
        <v>647</v>
      </c>
      <c r="Q1" s="1" t="s">
        <v>648</v>
      </c>
      <c r="R1" s="1" t="s">
        <v>650</v>
      </c>
      <c r="S1" s="1" t="s">
        <v>653</v>
      </c>
      <c r="U1" s="1" t="s">
        <v>190</v>
      </c>
    </row>
    <row r="2" spans="1:21" x14ac:dyDescent="0.25">
      <c r="A2" s="10" t="s">
        <v>600</v>
      </c>
      <c r="E2" s="1" t="s">
        <v>743</v>
      </c>
      <c r="F2" s="1" t="s">
        <v>605</v>
      </c>
      <c r="G2" s="1" t="s">
        <v>607</v>
      </c>
      <c r="H2" s="1" t="s">
        <v>607</v>
      </c>
      <c r="I2" s="1" t="s">
        <v>744</v>
      </c>
      <c r="J2" s="1" t="s">
        <v>745</v>
      </c>
      <c r="K2" s="1" t="s">
        <v>746</v>
      </c>
      <c r="M2" s="1" t="s">
        <v>605</v>
      </c>
      <c r="N2" s="1" t="s">
        <v>607</v>
      </c>
      <c r="R2" s="1" t="s">
        <v>608</v>
      </c>
      <c r="U2" s="1" t="s">
        <v>621</v>
      </c>
    </row>
    <row r="3" spans="1:21" x14ac:dyDescent="0.25">
      <c r="A3" s="10" t="s">
        <v>619</v>
      </c>
      <c r="U3" s="1" t="s">
        <v>620</v>
      </c>
    </row>
    <row r="6" spans="1:21" x14ac:dyDescent="0.25">
      <c r="A6" s="10" t="s">
        <v>679</v>
      </c>
    </row>
    <row r="8" spans="1:21" x14ac:dyDescent="0.25">
      <c r="A8" s="10" t="s">
        <v>763</v>
      </c>
      <c r="B8" s="1">
        <v>0.9</v>
      </c>
      <c r="C8" s="1">
        <v>0.9</v>
      </c>
      <c r="D8" s="1">
        <v>0.9</v>
      </c>
      <c r="E8" s="1">
        <v>0.9</v>
      </c>
      <c r="F8" s="1">
        <v>0.6</v>
      </c>
      <c r="G8" s="1">
        <v>0.3</v>
      </c>
      <c r="H8" s="1">
        <v>0.15</v>
      </c>
      <c r="I8" s="1">
        <v>0.15</v>
      </c>
      <c r="J8" s="1">
        <v>0.15</v>
      </c>
      <c r="K8" s="1">
        <v>0.4</v>
      </c>
      <c r="L8" s="1">
        <v>0.9</v>
      </c>
      <c r="M8" s="1">
        <v>1</v>
      </c>
      <c r="N8" s="1">
        <v>0.8</v>
      </c>
      <c r="O8" s="1">
        <v>0.9</v>
      </c>
      <c r="P8" s="1">
        <v>0.9</v>
      </c>
      <c r="Q8" s="1">
        <v>0.9</v>
      </c>
      <c r="R8" s="1">
        <v>0.9</v>
      </c>
      <c r="S8" s="1">
        <v>1</v>
      </c>
    </row>
    <row r="9" spans="1:21" x14ac:dyDescent="0.25">
      <c r="A9" s="10" t="s">
        <v>764</v>
      </c>
      <c r="B9" s="1">
        <v>0.1</v>
      </c>
      <c r="C9" s="1">
        <v>0.1</v>
      </c>
      <c r="D9" s="1">
        <v>0.1</v>
      </c>
      <c r="E9" s="1">
        <v>0.1</v>
      </c>
      <c r="F9" s="1">
        <v>0.25</v>
      </c>
      <c r="G9" s="1">
        <v>0.3</v>
      </c>
      <c r="H9" s="1">
        <v>0.3</v>
      </c>
      <c r="I9" s="1">
        <v>0.3</v>
      </c>
      <c r="J9" s="1">
        <v>0.3</v>
      </c>
      <c r="K9" s="1">
        <v>0.4</v>
      </c>
      <c r="L9" s="1">
        <v>0.1</v>
      </c>
      <c r="M9" s="1">
        <v>0</v>
      </c>
      <c r="N9" s="1">
        <v>0.15</v>
      </c>
      <c r="O9" s="1">
        <v>0.1</v>
      </c>
      <c r="P9" s="1">
        <v>0.1</v>
      </c>
      <c r="Q9" s="1">
        <v>0.1</v>
      </c>
      <c r="R9" s="1">
        <v>0.1</v>
      </c>
      <c r="S9" s="1">
        <v>0</v>
      </c>
    </row>
    <row r="10" spans="1:21" x14ac:dyDescent="0.25">
      <c r="A10" s="10" t="s">
        <v>765</v>
      </c>
      <c r="B10" s="1">
        <v>0</v>
      </c>
      <c r="C10" s="1">
        <v>0</v>
      </c>
      <c r="D10" s="1">
        <v>0</v>
      </c>
      <c r="E10" s="1">
        <v>0</v>
      </c>
      <c r="F10" s="1">
        <v>0.15</v>
      </c>
      <c r="G10" s="1">
        <v>0.2</v>
      </c>
      <c r="H10" s="1">
        <v>0.25</v>
      </c>
      <c r="I10" s="1">
        <v>0.25</v>
      </c>
      <c r="J10" s="1">
        <v>0.25</v>
      </c>
      <c r="K10" s="1">
        <v>0.15</v>
      </c>
      <c r="L10" s="1">
        <v>0</v>
      </c>
      <c r="M10" s="1">
        <v>0</v>
      </c>
      <c r="N10" s="1">
        <v>0.05</v>
      </c>
      <c r="O10" s="1">
        <v>0</v>
      </c>
      <c r="P10" s="1">
        <v>0</v>
      </c>
      <c r="Q10" s="1">
        <v>0</v>
      </c>
      <c r="R10" s="1">
        <v>0</v>
      </c>
      <c r="S10" s="1">
        <v>0</v>
      </c>
    </row>
    <row r="11" spans="1:21" x14ac:dyDescent="0.25">
      <c r="A11" s="10" t="s">
        <v>766</v>
      </c>
      <c r="B11" s="1">
        <v>0</v>
      </c>
      <c r="C11" s="1">
        <v>0</v>
      </c>
      <c r="D11" s="1">
        <v>0</v>
      </c>
      <c r="E11" s="1">
        <v>0</v>
      </c>
      <c r="F11" s="1">
        <v>0</v>
      </c>
      <c r="G11" s="1">
        <v>0.15</v>
      </c>
      <c r="H11" s="1">
        <v>0.2</v>
      </c>
      <c r="I11" s="1">
        <v>0.2</v>
      </c>
      <c r="J11" s="1">
        <v>0.2</v>
      </c>
      <c r="K11" s="1">
        <v>0.05</v>
      </c>
      <c r="L11" s="1">
        <v>0</v>
      </c>
      <c r="M11" s="1">
        <v>0</v>
      </c>
      <c r="N11" s="1">
        <v>0</v>
      </c>
      <c r="O11" s="1">
        <v>0</v>
      </c>
      <c r="P11" s="1">
        <v>0</v>
      </c>
      <c r="Q11" s="1">
        <v>0</v>
      </c>
      <c r="R11" s="1">
        <v>0</v>
      </c>
      <c r="S11" s="1">
        <v>0</v>
      </c>
    </row>
    <row r="12" spans="1:21" x14ac:dyDescent="0.25">
      <c r="A12" s="10" t="s">
        <v>767</v>
      </c>
      <c r="B12" s="1">
        <v>0</v>
      </c>
      <c r="C12" s="1">
        <v>0</v>
      </c>
      <c r="D12" s="1">
        <v>0</v>
      </c>
      <c r="E12" s="1">
        <v>0</v>
      </c>
      <c r="F12" s="1">
        <v>0</v>
      </c>
      <c r="G12" s="1">
        <v>0.05</v>
      </c>
      <c r="H12" s="1">
        <v>0.1</v>
      </c>
      <c r="I12" s="1">
        <v>0.1</v>
      </c>
      <c r="J12" s="1">
        <v>0.1</v>
      </c>
      <c r="K12" s="1">
        <v>0</v>
      </c>
      <c r="L12" s="1">
        <v>0</v>
      </c>
      <c r="M12" s="1">
        <v>0</v>
      </c>
      <c r="N12" s="1">
        <v>0</v>
      </c>
      <c r="O12" s="1">
        <v>0</v>
      </c>
      <c r="P12" s="1">
        <v>0</v>
      </c>
      <c r="Q12" s="1">
        <v>0</v>
      </c>
      <c r="R12" s="1">
        <v>0</v>
      </c>
      <c r="S12" s="1">
        <v>0</v>
      </c>
    </row>
    <row r="14" spans="1:21" x14ac:dyDescent="0.25">
      <c r="A14" s="10" t="s">
        <v>678</v>
      </c>
      <c r="B14" s="1">
        <v>0.9</v>
      </c>
      <c r="C14" s="1">
        <v>0.8</v>
      </c>
      <c r="D14" s="1">
        <v>0.7</v>
      </c>
      <c r="E14" s="1">
        <v>0.7</v>
      </c>
      <c r="F14" s="1">
        <v>0.6</v>
      </c>
      <c r="G14" s="1">
        <v>0.5</v>
      </c>
      <c r="H14" s="1">
        <v>0.5</v>
      </c>
      <c r="I14" s="1">
        <v>0.5</v>
      </c>
      <c r="J14" s="1">
        <v>0.5</v>
      </c>
      <c r="K14" s="1">
        <v>0.6</v>
      </c>
      <c r="L14" s="1">
        <v>0.7</v>
      </c>
      <c r="M14" s="1">
        <v>0.2</v>
      </c>
      <c r="N14" s="1">
        <v>0.3</v>
      </c>
      <c r="O14" s="1">
        <v>0.7</v>
      </c>
      <c r="P14" s="1">
        <v>0.7</v>
      </c>
      <c r="Q14" s="1">
        <v>0.7</v>
      </c>
      <c r="R14" s="1">
        <v>0.9</v>
      </c>
      <c r="S14" s="1">
        <v>0</v>
      </c>
    </row>
    <row r="15" spans="1:21" x14ac:dyDescent="0.25">
      <c r="A15" s="1"/>
    </row>
    <row r="16" spans="1:21" x14ac:dyDescent="0.25">
      <c r="A16" s="10" t="s">
        <v>768</v>
      </c>
      <c r="B16" s="1">
        <v>0.6</v>
      </c>
      <c r="C16" s="1">
        <v>0.5</v>
      </c>
      <c r="D16" s="1">
        <v>0.4</v>
      </c>
      <c r="E16" s="1">
        <v>0.4</v>
      </c>
      <c r="F16" s="1">
        <v>0.5</v>
      </c>
      <c r="G16" s="1">
        <v>0.5</v>
      </c>
      <c r="H16" s="1">
        <v>0.5</v>
      </c>
      <c r="I16" s="1">
        <v>0.5</v>
      </c>
      <c r="J16" s="1">
        <v>0.5</v>
      </c>
      <c r="K16" s="1">
        <v>0.5</v>
      </c>
      <c r="L16" s="1">
        <v>0.4</v>
      </c>
      <c r="M16" s="1">
        <v>0.6</v>
      </c>
      <c r="N16" s="1">
        <v>0.4</v>
      </c>
      <c r="O16" s="1">
        <v>0.4</v>
      </c>
      <c r="P16" s="1">
        <v>0.4</v>
      </c>
      <c r="Q16" s="1">
        <v>0.4</v>
      </c>
      <c r="R16" s="1">
        <v>0.4</v>
      </c>
      <c r="S16" s="1">
        <v>1</v>
      </c>
    </row>
    <row r="17" spans="1:19" x14ac:dyDescent="0.25">
      <c r="A17" s="10" t="s">
        <v>769</v>
      </c>
      <c r="B17" s="1">
        <v>0.3</v>
      </c>
      <c r="C17" s="1">
        <v>0.3</v>
      </c>
      <c r="D17" s="1">
        <v>0.4</v>
      </c>
      <c r="E17" s="1">
        <v>0.4</v>
      </c>
      <c r="F17" s="1">
        <v>0.4</v>
      </c>
      <c r="G17" s="1">
        <v>0.4</v>
      </c>
      <c r="H17" s="1">
        <v>0.4</v>
      </c>
      <c r="I17" s="1">
        <v>0.4</v>
      </c>
      <c r="J17" s="1">
        <v>0.4</v>
      </c>
      <c r="K17" s="1">
        <v>0.4</v>
      </c>
      <c r="L17" s="1">
        <v>0.4</v>
      </c>
      <c r="M17" s="1">
        <v>0.3</v>
      </c>
      <c r="N17" s="1">
        <v>0.4</v>
      </c>
      <c r="O17" s="1">
        <v>0.4</v>
      </c>
      <c r="P17" s="1">
        <v>0.4</v>
      </c>
      <c r="Q17" s="1">
        <v>0.4</v>
      </c>
      <c r="R17" s="1">
        <v>0.4</v>
      </c>
      <c r="S17" s="1">
        <v>0</v>
      </c>
    </row>
    <row r="18" spans="1:19" x14ac:dyDescent="0.25">
      <c r="A18" s="10" t="s">
        <v>770</v>
      </c>
      <c r="B18" s="1">
        <v>0.1</v>
      </c>
      <c r="C18" s="1">
        <v>0.2</v>
      </c>
      <c r="D18" s="1">
        <v>0.2</v>
      </c>
      <c r="E18" s="1">
        <v>0.2</v>
      </c>
      <c r="F18" s="1">
        <v>0.1</v>
      </c>
      <c r="G18" s="1">
        <v>0.1</v>
      </c>
      <c r="H18" s="1">
        <v>0.1</v>
      </c>
      <c r="I18" s="1">
        <v>0.1</v>
      </c>
      <c r="J18" s="1">
        <v>0.1</v>
      </c>
      <c r="K18" s="1">
        <v>0.1</v>
      </c>
      <c r="L18" s="1">
        <v>0.2</v>
      </c>
      <c r="M18" s="1">
        <v>0.1</v>
      </c>
      <c r="N18" s="1">
        <v>0.2</v>
      </c>
      <c r="O18" s="1">
        <v>0.2</v>
      </c>
      <c r="P18" s="1">
        <v>0.2</v>
      </c>
      <c r="Q18" s="1">
        <v>0.2</v>
      </c>
      <c r="R18" s="1">
        <v>0.2</v>
      </c>
      <c r="S18" s="1">
        <v>0</v>
      </c>
    </row>
    <row r="19" spans="1:19" x14ac:dyDescent="0.25">
      <c r="A19" s="1"/>
    </row>
    <row r="20" spans="1:19" x14ac:dyDescent="0.25">
      <c r="A20" s="10" t="s">
        <v>771</v>
      </c>
      <c r="B20" s="1">
        <v>0.9</v>
      </c>
      <c r="C20" s="1">
        <v>0.8</v>
      </c>
      <c r="D20" s="1">
        <v>0.8</v>
      </c>
      <c r="E20" s="1">
        <v>0.5</v>
      </c>
      <c r="F20" s="1">
        <v>0.3</v>
      </c>
      <c r="G20" s="1">
        <v>0.3</v>
      </c>
      <c r="H20" s="1">
        <v>0.3</v>
      </c>
      <c r="I20" s="1">
        <v>0.3</v>
      </c>
      <c r="J20" s="1">
        <v>0.3</v>
      </c>
      <c r="K20" s="1">
        <v>0.3</v>
      </c>
      <c r="L20" s="1">
        <v>0.8</v>
      </c>
      <c r="M20" s="1">
        <v>1</v>
      </c>
      <c r="N20" s="1">
        <v>0.7</v>
      </c>
      <c r="O20" s="1">
        <v>0.7</v>
      </c>
      <c r="P20" s="1">
        <v>0.7</v>
      </c>
      <c r="Q20" s="1">
        <v>0.7</v>
      </c>
      <c r="R20" s="1">
        <v>0.9</v>
      </c>
      <c r="S20" s="1">
        <v>1</v>
      </c>
    </row>
    <row r="21" spans="1:19" x14ac:dyDescent="0.25">
      <c r="A21" s="10" t="s">
        <v>772</v>
      </c>
      <c r="B21" s="1">
        <v>0.1</v>
      </c>
      <c r="C21" s="1">
        <v>0.2</v>
      </c>
      <c r="D21" s="1">
        <v>0.2</v>
      </c>
      <c r="E21" s="1">
        <v>0.3</v>
      </c>
      <c r="F21" s="1">
        <v>0.35</v>
      </c>
      <c r="G21" s="1">
        <v>0.35</v>
      </c>
      <c r="H21" s="1">
        <v>0.35</v>
      </c>
      <c r="I21" s="1">
        <v>0.35</v>
      </c>
      <c r="J21" s="1">
        <v>0.35</v>
      </c>
      <c r="K21" s="1">
        <v>0.35</v>
      </c>
      <c r="L21" s="1">
        <v>0.2</v>
      </c>
      <c r="M21" s="1">
        <v>0</v>
      </c>
      <c r="N21" s="1">
        <v>0.2</v>
      </c>
      <c r="O21" s="1">
        <v>0.2</v>
      </c>
      <c r="P21" s="1">
        <v>0.2</v>
      </c>
      <c r="Q21" s="1">
        <v>0.2</v>
      </c>
      <c r="R21" s="1">
        <v>0.1</v>
      </c>
      <c r="S21" s="1">
        <v>0</v>
      </c>
    </row>
    <row r="22" spans="1:19" x14ac:dyDescent="0.25">
      <c r="A22" s="10" t="s">
        <v>773</v>
      </c>
      <c r="B22" s="1">
        <v>0</v>
      </c>
      <c r="C22" s="1">
        <v>0</v>
      </c>
      <c r="D22" s="1">
        <v>0</v>
      </c>
      <c r="E22" s="1">
        <v>0.2</v>
      </c>
      <c r="F22" s="1">
        <v>0.2</v>
      </c>
      <c r="G22" s="1">
        <v>0.2</v>
      </c>
      <c r="H22" s="1">
        <v>0.2</v>
      </c>
      <c r="I22" s="1">
        <v>0.2</v>
      </c>
      <c r="J22" s="1">
        <v>0.2</v>
      </c>
      <c r="K22" s="1">
        <v>0.2</v>
      </c>
      <c r="L22" s="1">
        <v>0</v>
      </c>
      <c r="M22" s="1">
        <v>0</v>
      </c>
      <c r="N22" s="1">
        <v>0.1</v>
      </c>
      <c r="O22" s="1">
        <v>0.1</v>
      </c>
      <c r="P22" s="1">
        <v>0.1</v>
      </c>
      <c r="Q22" s="1">
        <v>0.1</v>
      </c>
      <c r="R22" s="1">
        <v>0</v>
      </c>
      <c r="S22" s="1">
        <v>0</v>
      </c>
    </row>
    <row r="23" spans="1:19" x14ac:dyDescent="0.25">
      <c r="A23" s="10" t="s">
        <v>774</v>
      </c>
      <c r="B23" s="1">
        <v>0</v>
      </c>
      <c r="C23" s="1">
        <v>0</v>
      </c>
      <c r="D23" s="1">
        <v>0</v>
      </c>
      <c r="E23" s="1">
        <v>0</v>
      </c>
      <c r="F23" s="1">
        <v>0.1</v>
      </c>
      <c r="G23" s="1">
        <v>0.1</v>
      </c>
      <c r="H23" s="1">
        <v>0.1</v>
      </c>
      <c r="I23" s="1">
        <v>0.1</v>
      </c>
      <c r="J23" s="1">
        <v>0.1</v>
      </c>
      <c r="K23" s="1">
        <v>0.1</v>
      </c>
      <c r="L23" s="1">
        <v>0</v>
      </c>
      <c r="M23" s="1">
        <v>0</v>
      </c>
      <c r="N23" s="1">
        <v>0</v>
      </c>
      <c r="O23" s="1">
        <v>0</v>
      </c>
      <c r="P23" s="1">
        <v>0</v>
      </c>
      <c r="Q23" s="1">
        <v>0</v>
      </c>
      <c r="R23" s="1">
        <v>0</v>
      </c>
      <c r="S23" s="1">
        <v>0</v>
      </c>
    </row>
    <row r="24" spans="1:19" x14ac:dyDescent="0.25">
      <c r="A24" s="10" t="s">
        <v>775</v>
      </c>
      <c r="B24" s="1">
        <v>0</v>
      </c>
      <c r="C24" s="1">
        <v>0</v>
      </c>
      <c r="D24" s="1">
        <v>0</v>
      </c>
      <c r="E24" s="1">
        <v>0</v>
      </c>
      <c r="F24" s="1">
        <v>0.05</v>
      </c>
      <c r="G24" s="1">
        <v>0.05</v>
      </c>
      <c r="H24" s="1">
        <v>0.05</v>
      </c>
      <c r="I24" s="1">
        <v>0.05</v>
      </c>
      <c r="J24" s="1">
        <v>0.05</v>
      </c>
      <c r="K24" s="1">
        <v>0.05</v>
      </c>
      <c r="L24" s="1">
        <v>0</v>
      </c>
      <c r="M24" s="1">
        <v>0</v>
      </c>
      <c r="N24" s="1">
        <v>0</v>
      </c>
      <c r="O24" s="1">
        <v>0</v>
      </c>
      <c r="P24" s="1">
        <v>0</v>
      </c>
      <c r="Q24" s="1">
        <v>0</v>
      </c>
      <c r="R24" s="1">
        <v>0</v>
      </c>
      <c r="S24" s="1">
        <v>0</v>
      </c>
    </row>
    <row r="26" spans="1:19" x14ac:dyDescent="0.25">
      <c r="A26" s="10" t="s">
        <v>677</v>
      </c>
      <c r="B26" s="1">
        <v>0.8</v>
      </c>
      <c r="C26" s="1">
        <v>0.7</v>
      </c>
      <c r="D26" s="1">
        <v>0.6</v>
      </c>
      <c r="E26" s="1">
        <v>0.6</v>
      </c>
      <c r="F26" s="1">
        <v>0.5</v>
      </c>
      <c r="G26" s="1">
        <v>0.5</v>
      </c>
      <c r="H26" s="1">
        <v>0.5</v>
      </c>
      <c r="I26" s="1">
        <v>0.5</v>
      </c>
      <c r="J26" s="1">
        <v>0.5</v>
      </c>
      <c r="K26" s="1">
        <v>0.5</v>
      </c>
      <c r="L26" s="1">
        <v>0.6</v>
      </c>
      <c r="M26" s="1">
        <v>0.1</v>
      </c>
      <c r="N26" s="1">
        <v>0.2</v>
      </c>
      <c r="O26" s="1">
        <v>0.6</v>
      </c>
      <c r="P26" s="1">
        <v>0.6</v>
      </c>
      <c r="Q26" s="1">
        <v>0.6</v>
      </c>
      <c r="R26" s="1">
        <v>0.9</v>
      </c>
      <c r="S26" s="1">
        <v>0</v>
      </c>
    </row>
    <row r="31" spans="1:19" x14ac:dyDescent="0.25">
      <c r="A31" s="1" t="s">
        <v>190</v>
      </c>
    </row>
    <row r="33" spans="2:19" x14ac:dyDescent="0.25">
      <c r="B33" s="1" t="str">
        <f>IF(SUM(B8:B12)&lt;&gt;1,SUM(B8:B12),"")</f>
        <v/>
      </c>
      <c r="C33" s="1" t="str">
        <f t="shared" ref="C33:S33" si="0">IF(SUM(C8:C12)&lt;&gt;1,SUM(C8:C12),"")</f>
        <v/>
      </c>
      <c r="D33" s="1" t="str">
        <f t="shared" si="0"/>
        <v/>
      </c>
      <c r="E33" s="1" t="str">
        <f t="shared" si="0"/>
        <v/>
      </c>
      <c r="F33" s="1" t="str">
        <f t="shared" si="0"/>
        <v/>
      </c>
      <c r="G33" s="1" t="str">
        <f t="shared" si="0"/>
        <v/>
      </c>
      <c r="H33" s="1" t="str">
        <f t="shared" si="0"/>
        <v/>
      </c>
      <c r="I33" s="1" t="str">
        <f t="shared" si="0"/>
        <v/>
      </c>
      <c r="J33" s="1" t="str">
        <f t="shared" si="0"/>
        <v/>
      </c>
      <c r="K33" s="1" t="str">
        <f t="shared" si="0"/>
        <v/>
      </c>
      <c r="L33" s="1" t="str">
        <f t="shared" si="0"/>
        <v/>
      </c>
      <c r="M33" s="1" t="str">
        <f t="shared" si="0"/>
        <v/>
      </c>
      <c r="N33" s="1" t="str">
        <f t="shared" si="0"/>
        <v/>
      </c>
      <c r="O33" s="1" t="str">
        <f t="shared" si="0"/>
        <v/>
      </c>
      <c r="P33" s="1" t="str">
        <f t="shared" si="0"/>
        <v/>
      </c>
      <c r="Q33" s="1" t="str">
        <f t="shared" si="0"/>
        <v/>
      </c>
      <c r="R33" s="1" t="str">
        <f t="shared" si="0"/>
        <v/>
      </c>
      <c r="S33" s="1" t="str">
        <f t="shared" si="0"/>
        <v/>
      </c>
    </row>
    <row r="34" spans="2:19" x14ac:dyDescent="0.25">
      <c r="B34" s="1" t="str">
        <f>IF(SUM(B16:B18)&lt;&gt;1,SUM(B16:B18),"")</f>
        <v/>
      </c>
      <c r="C34" s="1" t="str">
        <f t="shared" ref="C34:S34" si="1">IF(SUM(C16:C18)&lt;&gt;1,SUM(C16:C18),"")</f>
        <v/>
      </c>
      <c r="D34" s="1" t="str">
        <f t="shared" si="1"/>
        <v/>
      </c>
      <c r="E34" s="1" t="str">
        <f t="shared" si="1"/>
        <v/>
      </c>
      <c r="F34" s="1" t="str">
        <f t="shared" si="1"/>
        <v/>
      </c>
      <c r="G34" s="1" t="str">
        <f t="shared" si="1"/>
        <v/>
      </c>
      <c r="H34" s="1" t="str">
        <f t="shared" si="1"/>
        <v/>
      </c>
      <c r="I34" s="1" t="str">
        <f t="shared" si="1"/>
        <v/>
      </c>
      <c r="J34" s="1" t="str">
        <f t="shared" si="1"/>
        <v/>
      </c>
      <c r="K34" s="1" t="str">
        <f t="shared" si="1"/>
        <v/>
      </c>
      <c r="L34" s="1" t="str">
        <f t="shared" si="1"/>
        <v/>
      </c>
      <c r="M34" s="1" t="str">
        <f t="shared" si="1"/>
        <v/>
      </c>
      <c r="N34" s="1" t="str">
        <f t="shared" si="1"/>
        <v/>
      </c>
      <c r="O34" s="1" t="str">
        <f t="shared" si="1"/>
        <v/>
      </c>
      <c r="P34" s="1" t="str">
        <f t="shared" si="1"/>
        <v/>
      </c>
      <c r="Q34" s="1" t="str">
        <f t="shared" si="1"/>
        <v/>
      </c>
      <c r="R34" s="1" t="str">
        <f t="shared" si="1"/>
        <v/>
      </c>
      <c r="S34" s="1" t="str">
        <f t="shared" si="1"/>
        <v/>
      </c>
    </row>
    <row r="35" spans="2:19" x14ac:dyDescent="0.25">
      <c r="B35" s="1" t="str">
        <f>IF(SUM(B20:B24)&lt;&gt;1,SUM(B20:B24),"")</f>
        <v/>
      </c>
      <c r="C35" s="1" t="str">
        <f t="shared" ref="C35:S35" si="2">IF(SUM(C20:C24)&lt;&gt;1,SUM(C20:C24),"")</f>
        <v/>
      </c>
      <c r="D35" s="1" t="str">
        <f t="shared" si="2"/>
        <v/>
      </c>
      <c r="E35" s="1" t="str">
        <f t="shared" si="2"/>
        <v/>
      </c>
      <c r="F35" s="1" t="str">
        <f t="shared" si="2"/>
        <v/>
      </c>
      <c r="G35" s="1" t="str">
        <f t="shared" si="2"/>
        <v/>
      </c>
      <c r="H35" s="1" t="str">
        <f t="shared" si="2"/>
        <v/>
      </c>
      <c r="I35" s="1" t="str">
        <f t="shared" si="2"/>
        <v/>
      </c>
      <c r="J35" s="1" t="str">
        <f t="shared" si="2"/>
        <v/>
      </c>
      <c r="K35" s="1" t="str">
        <f t="shared" si="2"/>
        <v/>
      </c>
      <c r="L35" s="1" t="str">
        <f t="shared" si="2"/>
        <v/>
      </c>
      <c r="M35" s="1" t="str">
        <f t="shared" si="2"/>
        <v/>
      </c>
      <c r="N35" s="1" t="str">
        <f t="shared" si="2"/>
        <v/>
      </c>
      <c r="O35" s="1" t="str">
        <f t="shared" si="2"/>
        <v/>
      </c>
      <c r="P35" s="1" t="str">
        <f t="shared" si="2"/>
        <v/>
      </c>
      <c r="Q35" s="1" t="str">
        <f t="shared" si="2"/>
        <v/>
      </c>
      <c r="R35" s="1" t="str">
        <f t="shared" si="2"/>
        <v/>
      </c>
      <c r="S35" s="1" t="str">
        <f t="shared" si="2"/>
        <v/>
      </c>
    </row>
  </sheetData>
  <conditionalFormatting sqref="B8:R21 B22:Q24 B25:R26">
    <cfRule type="colorScale" priority="2">
      <colorScale>
        <cfvo type="min"/>
        <cfvo type="max"/>
        <color theme="5" tint="-0.499984740745262"/>
        <color theme="9" tint="-0.249977111117893"/>
      </colorScale>
    </cfRule>
  </conditionalFormatting>
  <conditionalFormatting sqref="S8:S26 R22:R24">
    <cfRule type="colorScale" priority="1">
      <colorScale>
        <cfvo type="min"/>
        <cfvo type="max"/>
        <color theme="5" tint="-0.499984740745262"/>
        <color theme="9" tint="-0.249977111117893"/>
      </colorScale>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D8DD-86FC-4A07-AC68-DC0D3DFAF7A0}">
  <dimension ref="A1:P384"/>
  <sheetViews>
    <sheetView topLeftCell="A34" workbookViewId="0">
      <selection activeCell="C43" sqref="C43"/>
    </sheetView>
  </sheetViews>
  <sheetFormatPr baseColWidth="10" defaultColWidth="19.42578125" defaultRowHeight="15" x14ac:dyDescent="0.25"/>
  <cols>
    <col min="1" max="1" width="28.140625" style="1" customWidth="1"/>
    <col min="2" max="2" width="36.28515625" style="1" customWidth="1"/>
    <col min="3" max="4" width="28.140625" style="1" customWidth="1"/>
    <col min="5" max="5" width="1.7109375" style="1" customWidth="1"/>
    <col min="6" max="6" width="28.140625" style="1" customWidth="1"/>
    <col min="7" max="7" width="5.85546875" style="1" customWidth="1"/>
    <col min="8" max="8" width="7.5703125" style="1" customWidth="1"/>
    <col min="9" max="9" width="1.7109375" style="1" customWidth="1"/>
    <col min="10" max="10" width="91.140625" style="1" customWidth="1"/>
    <col min="11" max="17" width="1.7109375" style="1" customWidth="1"/>
    <col min="18" max="16384" width="19.42578125" style="1"/>
  </cols>
  <sheetData>
    <row r="1" spans="1:16" s="11" customFormat="1" ht="34.5" customHeight="1" x14ac:dyDescent="0.45">
      <c r="A1" s="11" t="s">
        <v>143</v>
      </c>
      <c r="B1" s="11" t="s">
        <v>144</v>
      </c>
      <c r="C1" s="11" t="s">
        <v>145</v>
      </c>
      <c r="D1" s="11" t="s">
        <v>511</v>
      </c>
      <c r="E1" s="11" t="s">
        <v>146</v>
      </c>
      <c r="F1" s="11" t="s">
        <v>155</v>
      </c>
      <c r="G1" s="11" t="s">
        <v>147</v>
      </c>
      <c r="H1" s="11" t="s">
        <v>149</v>
      </c>
      <c r="I1" s="11" t="s">
        <v>150</v>
      </c>
      <c r="J1" s="11" t="s">
        <v>157</v>
      </c>
      <c r="K1" s="11" t="s">
        <v>148</v>
      </c>
      <c r="L1" s="11" t="s">
        <v>151</v>
      </c>
      <c r="M1" s="11" t="s">
        <v>152</v>
      </c>
      <c r="N1" s="11" t="s">
        <v>153</v>
      </c>
      <c r="O1" s="11" t="s">
        <v>153</v>
      </c>
      <c r="P1" s="11" t="s">
        <v>154</v>
      </c>
    </row>
    <row r="2" spans="1:16" x14ac:dyDescent="0.25">
      <c r="A2" s="1" t="s">
        <v>189</v>
      </c>
      <c r="G2" s="1">
        <v>6</v>
      </c>
    </row>
    <row r="3" spans="1:16" x14ac:dyDescent="0.25">
      <c r="A3" s="12" t="s">
        <v>186</v>
      </c>
    </row>
    <row r="4" spans="1:16" x14ac:dyDescent="0.25">
      <c r="A4" s="1" t="s">
        <v>159</v>
      </c>
      <c r="B4" s="1" t="s">
        <v>156</v>
      </c>
      <c r="C4" s="1" t="s">
        <v>161</v>
      </c>
      <c r="D4" s="1" t="s">
        <v>167</v>
      </c>
      <c r="G4" s="1">
        <v>0</v>
      </c>
      <c r="J4" s="1" t="s">
        <v>39</v>
      </c>
    </row>
    <row r="5" spans="1:16" x14ac:dyDescent="0.25">
      <c r="A5" s="1" t="s">
        <v>166</v>
      </c>
      <c r="B5" s="1" t="s">
        <v>165</v>
      </c>
      <c r="C5" s="1" t="s">
        <v>161</v>
      </c>
      <c r="D5" s="1" t="s">
        <v>167</v>
      </c>
      <c r="F5" s="1" t="s">
        <v>159</v>
      </c>
      <c r="G5" s="1">
        <v>0</v>
      </c>
      <c r="J5" s="1" t="s">
        <v>41</v>
      </c>
    </row>
    <row r="6" spans="1:16" x14ac:dyDescent="0.25">
      <c r="A6" s="1" t="s">
        <v>164</v>
      </c>
      <c r="B6" s="1" t="s">
        <v>163</v>
      </c>
      <c r="C6" s="1" t="s">
        <v>161</v>
      </c>
      <c r="D6" s="1" t="s">
        <v>167</v>
      </c>
      <c r="F6" s="1" t="s">
        <v>166</v>
      </c>
      <c r="G6" s="1">
        <v>1</v>
      </c>
      <c r="J6" s="1" t="s">
        <v>162</v>
      </c>
    </row>
    <row r="7" spans="1:16" x14ac:dyDescent="0.25">
      <c r="A7" s="1" t="s">
        <v>160</v>
      </c>
      <c r="B7" s="1" t="s">
        <v>158</v>
      </c>
      <c r="C7" s="1" t="s">
        <v>161</v>
      </c>
      <c r="D7" s="1" t="s">
        <v>167</v>
      </c>
      <c r="F7" s="1" t="s">
        <v>164</v>
      </c>
      <c r="G7" s="1">
        <v>1</v>
      </c>
      <c r="J7" s="1" t="s">
        <v>36</v>
      </c>
    </row>
    <row r="9" spans="1:16" x14ac:dyDescent="0.25">
      <c r="D9" s="1" t="s">
        <v>35</v>
      </c>
    </row>
    <row r="10" spans="1:16" x14ac:dyDescent="0.25">
      <c r="D10" s="1" t="s">
        <v>40</v>
      </c>
    </row>
    <row r="11" spans="1:16" x14ac:dyDescent="0.25">
      <c r="D11" s="1" t="s">
        <v>42</v>
      </c>
    </row>
    <row r="13" spans="1:16" x14ac:dyDescent="0.25">
      <c r="D13" s="1" t="s">
        <v>38</v>
      </c>
    </row>
    <row r="16" spans="1:16" x14ac:dyDescent="0.25">
      <c r="A16" s="12" t="s">
        <v>184</v>
      </c>
    </row>
    <row r="17" spans="1:10" x14ac:dyDescent="0.25">
      <c r="A17" s="10"/>
    </row>
    <row r="18" spans="1:10" x14ac:dyDescent="0.25">
      <c r="A18" s="1" t="s">
        <v>170</v>
      </c>
      <c r="B18" s="1" t="s">
        <v>169</v>
      </c>
      <c r="C18" s="1" t="s">
        <v>168</v>
      </c>
      <c r="D18" s="1" t="s">
        <v>188</v>
      </c>
      <c r="G18" s="1">
        <v>0</v>
      </c>
      <c r="J18" s="1" t="s">
        <v>43</v>
      </c>
    </row>
    <row r="19" spans="1:10" x14ac:dyDescent="0.25">
      <c r="A19" s="1" t="s">
        <v>173</v>
      </c>
      <c r="B19" s="1" t="s">
        <v>45</v>
      </c>
      <c r="C19" s="1" t="s">
        <v>168</v>
      </c>
      <c r="D19" s="1" t="s">
        <v>188</v>
      </c>
      <c r="F19" s="1" t="s">
        <v>170</v>
      </c>
      <c r="G19" s="1">
        <v>1</v>
      </c>
      <c r="J19" s="1" t="s">
        <v>45</v>
      </c>
    </row>
    <row r="20" spans="1:10" x14ac:dyDescent="0.25">
      <c r="A20" s="1" t="s">
        <v>174</v>
      </c>
      <c r="B20" s="1" t="s">
        <v>171</v>
      </c>
      <c r="C20" s="1" t="s">
        <v>168</v>
      </c>
      <c r="D20" s="1" t="s">
        <v>188</v>
      </c>
      <c r="F20" s="1" t="s">
        <v>170</v>
      </c>
      <c r="G20" s="1">
        <v>1</v>
      </c>
      <c r="J20" s="1" t="s">
        <v>44</v>
      </c>
    </row>
    <row r="21" spans="1:10" x14ac:dyDescent="0.25">
      <c r="A21" s="1" t="s">
        <v>182</v>
      </c>
      <c r="B21" s="1" t="s">
        <v>183</v>
      </c>
      <c r="C21" s="1" t="s">
        <v>168</v>
      </c>
      <c r="D21" s="1" t="s">
        <v>188</v>
      </c>
      <c r="F21" s="1" t="s">
        <v>159</v>
      </c>
      <c r="G21" s="1">
        <v>1</v>
      </c>
    </row>
    <row r="22" spans="1:10" x14ac:dyDescent="0.25">
      <c r="A22" s="1" t="s">
        <v>175</v>
      </c>
      <c r="B22" s="1" t="s">
        <v>172</v>
      </c>
      <c r="C22" s="1" t="s">
        <v>168</v>
      </c>
      <c r="D22" s="1" t="s">
        <v>188</v>
      </c>
      <c r="F22" s="1" t="s">
        <v>182</v>
      </c>
      <c r="G22" s="1">
        <v>1</v>
      </c>
      <c r="J22" s="1" t="s">
        <v>46</v>
      </c>
    </row>
    <row r="26" spans="1:10" x14ac:dyDescent="0.25">
      <c r="A26" s="12" t="s">
        <v>185</v>
      </c>
    </row>
    <row r="27" spans="1:10" x14ac:dyDescent="0.25">
      <c r="A27" s="10"/>
    </row>
    <row r="28" spans="1:10" x14ac:dyDescent="0.25">
      <c r="A28" s="1" t="s">
        <v>179</v>
      </c>
      <c r="B28" s="1" t="s">
        <v>176</v>
      </c>
      <c r="C28" s="1" t="s">
        <v>187</v>
      </c>
      <c r="D28" s="1" t="s">
        <v>188</v>
      </c>
      <c r="F28" s="1" t="s">
        <v>182</v>
      </c>
      <c r="G28" s="1">
        <v>1</v>
      </c>
      <c r="J28" s="1" t="s">
        <v>47</v>
      </c>
    </row>
    <row r="29" spans="1:10" x14ac:dyDescent="0.25">
      <c r="A29" s="1" t="s">
        <v>180</v>
      </c>
      <c r="B29" s="1" t="s">
        <v>177</v>
      </c>
      <c r="C29" s="1" t="s">
        <v>187</v>
      </c>
      <c r="D29" s="1" t="s">
        <v>188</v>
      </c>
      <c r="F29" s="1" t="s">
        <v>179</v>
      </c>
      <c r="G29" s="1">
        <v>2</v>
      </c>
    </row>
    <row r="30" spans="1:10" x14ac:dyDescent="0.25">
      <c r="A30" s="1" t="s">
        <v>181</v>
      </c>
      <c r="B30" s="1" t="s">
        <v>178</v>
      </c>
      <c r="C30" s="1" t="s">
        <v>187</v>
      </c>
      <c r="D30" s="1" t="s">
        <v>188</v>
      </c>
      <c r="F30" s="1" t="s">
        <v>180</v>
      </c>
      <c r="G30" s="1">
        <v>3</v>
      </c>
    </row>
    <row r="34" spans="1:10" x14ac:dyDescent="0.25">
      <c r="A34" s="12" t="s">
        <v>232</v>
      </c>
    </row>
    <row r="36" spans="1:10" x14ac:dyDescent="0.25">
      <c r="A36" s="1" t="s">
        <v>193</v>
      </c>
      <c r="B36" s="1" t="s">
        <v>194</v>
      </c>
      <c r="C36" s="1" t="s">
        <v>203</v>
      </c>
      <c r="F36" s="1" t="s">
        <v>159</v>
      </c>
      <c r="G36" s="1">
        <v>0</v>
      </c>
      <c r="J36" s="1" t="s">
        <v>192</v>
      </c>
    </row>
    <row r="37" spans="1:10" x14ac:dyDescent="0.25">
      <c r="A37" s="1" t="s">
        <v>198</v>
      </c>
      <c r="B37" s="1" t="s">
        <v>197</v>
      </c>
      <c r="C37" s="1" t="s">
        <v>203</v>
      </c>
      <c r="F37" s="1" t="s">
        <v>193</v>
      </c>
      <c r="G37" s="1">
        <v>1</v>
      </c>
      <c r="J37" s="1" t="s">
        <v>196</v>
      </c>
    </row>
    <row r="38" spans="1:10" x14ac:dyDescent="0.25">
      <c r="A38" s="1" t="s">
        <v>191</v>
      </c>
      <c r="B38" s="1" t="s">
        <v>195</v>
      </c>
      <c r="C38" s="1" t="s">
        <v>203</v>
      </c>
      <c r="F38" s="1" t="s">
        <v>193</v>
      </c>
      <c r="G38" s="1">
        <v>2</v>
      </c>
      <c r="J38" s="1" t="s">
        <v>66</v>
      </c>
    </row>
    <row r="39" spans="1:10" x14ac:dyDescent="0.25">
      <c r="A39" s="1" t="s">
        <v>211</v>
      </c>
      <c r="B39" s="1" t="s">
        <v>212</v>
      </c>
      <c r="C39" s="1" t="s">
        <v>203</v>
      </c>
      <c r="F39" s="1" t="s">
        <v>191</v>
      </c>
      <c r="G39" s="1">
        <v>2</v>
      </c>
      <c r="J39" s="1" t="s">
        <v>205</v>
      </c>
    </row>
    <row r="40" spans="1:10" x14ac:dyDescent="0.25">
      <c r="A40" s="1" t="s">
        <v>200</v>
      </c>
      <c r="B40" s="1" t="s">
        <v>199</v>
      </c>
      <c r="C40" s="1" t="s">
        <v>203</v>
      </c>
      <c r="F40" s="1" t="s">
        <v>191</v>
      </c>
      <c r="G40" s="1">
        <v>2</v>
      </c>
      <c r="J40" s="1" t="s">
        <v>213</v>
      </c>
    </row>
    <row r="41" spans="1:10" x14ac:dyDescent="0.25">
      <c r="A41" s="1" t="s">
        <v>201</v>
      </c>
      <c r="B41" s="1" t="s">
        <v>202</v>
      </c>
      <c r="C41" s="1" t="s">
        <v>203</v>
      </c>
      <c r="F41" s="1" t="s">
        <v>191</v>
      </c>
      <c r="G41" s="1">
        <v>2</v>
      </c>
      <c r="J41" s="1" t="s">
        <v>204</v>
      </c>
    </row>
    <row r="42" spans="1:10" x14ac:dyDescent="0.25">
      <c r="A42" s="1" t="s">
        <v>323</v>
      </c>
      <c r="B42" s="1" t="s">
        <v>319</v>
      </c>
      <c r="C42" s="1" t="s">
        <v>203</v>
      </c>
      <c r="F42" s="1" t="s">
        <v>191</v>
      </c>
      <c r="G42" s="1">
        <v>2</v>
      </c>
      <c r="J42" s="1" t="s">
        <v>206</v>
      </c>
    </row>
    <row r="43" spans="1:10" x14ac:dyDescent="0.25">
      <c r="A43" s="1" t="s">
        <v>322</v>
      </c>
      <c r="B43" s="1" t="s">
        <v>320</v>
      </c>
      <c r="C43" s="1" t="s">
        <v>203</v>
      </c>
      <c r="F43" s="1" t="s">
        <v>322</v>
      </c>
      <c r="G43" s="1">
        <v>3</v>
      </c>
      <c r="J43" s="1" t="s">
        <v>326</v>
      </c>
    </row>
    <row r="44" spans="1:10" x14ac:dyDescent="0.25">
      <c r="A44" s="1" t="s">
        <v>324</v>
      </c>
      <c r="B44" s="1" t="s">
        <v>321</v>
      </c>
      <c r="C44" s="1" t="s">
        <v>203</v>
      </c>
      <c r="F44" s="1" t="s">
        <v>324</v>
      </c>
      <c r="G44" s="1">
        <v>4</v>
      </c>
      <c r="J44" s="1" t="s">
        <v>325</v>
      </c>
    </row>
    <row r="46" spans="1:10" x14ac:dyDescent="0.25">
      <c r="B46" s="1" t="s">
        <v>332</v>
      </c>
    </row>
    <row r="47" spans="1:10" x14ac:dyDescent="0.25">
      <c r="B47" s="1" t="s">
        <v>333</v>
      </c>
    </row>
    <row r="49" spans="1:7" x14ac:dyDescent="0.25">
      <c r="B49" s="1" t="s">
        <v>327</v>
      </c>
    </row>
    <row r="51" spans="1:7" x14ac:dyDescent="0.25">
      <c r="B51" s="1" t="s">
        <v>328</v>
      </c>
    </row>
    <row r="52" spans="1:7" x14ac:dyDescent="0.25">
      <c r="B52" s="1" t="s">
        <v>330</v>
      </c>
    </row>
    <row r="53" spans="1:7" x14ac:dyDescent="0.25">
      <c r="B53" s="1" t="s">
        <v>329</v>
      </c>
    </row>
    <row r="54" spans="1:7" x14ac:dyDescent="0.25">
      <c r="B54" s="1" t="s">
        <v>331</v>
      </c>
    </row>
    <row r="58" spans="1:7" x14ac:dyDescent="0.25">
      <c r="A58" s="1" t="s">
        <v>207</v>
      </c>
      <c r="B58" s="1" t="s">
        <v>210</v>
      </c>
      <c r="C58" s="1" t="s">
        <v>203</v>
      </c>
      <c r="D58" s="1" t="s">
        <v>168</v>
      </c>
      <c r="F58" s="1" t="s">
        <v>229</v>
      </c>
      <c r="G58" s="1">
        <v>2</v>
      </c>
    </row>
    <row r="59" spans="1:7" x14ac:dyDescent="0.25">
      <c r="A59" s="1" t="s">
        <v>208</v>
      </c>
      <c r="B59" s="1" t="s">
        <v>209</v>
      </c>
      <c r="C59" s="1" t="s">
        <v>203</v>
      </c>
      <c r="D59" s="1" t="s">
        <v>168</v>
      </c>
      <c r="F59" s="1" t="s">
        <v>230</v>
      </c>
      <c r="G59" s="1">
        <v>3</v>
      </c>
    </row>
    <row r="63" spans="1:7" x14ac:dyDescent="0.25">
      <c r="A63" s="12" t="s">
        <v>231</v>
      </c>
    </row>
    <row r="65" spans="1:7" x14ac:dyDescent="0.25">
      <c r="A65" s="1" t="s">
        <v>225</v>
      </c>
      <c r="B65" s="1" t="s">
        <v>110</v>
      </c>
      <c r="C65" s="1" t="s">
        <v>168</v>
      </c>
      <c r="D65" s="1" t="s">
        <v>216</v>
      </c>
      <c r="G65" s="1">
        <v>1</v>
      </c>
    </row>
    <row r="66" spans="1:7" x14ac:dyDescent="0.25">
      <c r="A66" s="1" t="s">
        <v>226</v>
      </c>
      <c r="B66" s="1" t="s">
        <v>224</v>
      </c>
      <c r="C66" s="1" t="s">
        <v>168</v>
      </c>
      <c r="D66" s="1" t="s">
        <v>216</v>
      </c>
      <c r="F66" s="1" t="s">
        <v>225</v>
      </c>
    </row>
    <row r="67" spans="1:7" x14ac:dyDescent="0.25">
      <c r="A67" s="1" t="s">
        <v>217</v>
      </c>
      <c r="B67" s="1" t="s">
        <v>109</v>
      </c>
      <c r="C67" s="1" t="s">
        <v>168</v>
      </c>
      <c r="D67" s="1" t="s">
        <v>216</v>
      </c>
      <c r="F67" s="1" t="s">
        <v>226</v>
      </c>
      <c r="G67" s="1">
        <v>1</v>
      </c>
    </row>
    <row r="68" spans="1:7" x14ac:dyDescent="0.25">
      <c r="A68" s="1" t="s">
        <v>227</v>
      </c>
      <c r="B68" s="1" t="s">
        <v>215</v>
      </c>
      <c r="C68" s="1" t="s">
        <v>168</v>
      </c>
      <c r="D68" s="1" t="s">
        <v>216</v>
      </c>
      <c r="F68" s="1" t="s">
        <v>217</v>
      </c>
      <c r="G68" s="1">
        <v>2</v>
      </c>
    </row>
    <row r="69" spans="1:7" x14ac:dyDescent="0.25">
      <c r="A69" s="1" t="s">
        <v>218</v>
      </c>
      <c r="B69" s="1" t="s">
        <v>119</v>
      </c>
      <c r="C69" s="1" t="s">
        <v>168</v>
      </c>
      <c r="D69" s="1" t="s">
        <v>188</v>
      </c>
      <c r="F69" s="1" t="s">
        <v>227</v>
      </c>
      <c r="G69" s="1">
        <v>2</v>
      </c>
    </row>
    <row r="70" spans="1:7" x14ac:dyDescent="0.25">
      <c r="A70" s="1" t="s">
        <v>219</v>
      </c>
      <c r="B70" s="1" t="s">
        <v>120</v>
      </c>
      <c r="C70" s="1" t="s">
        <v>168</v>
      </c>
      <c r="D70" s="1" t="s">
        <v>188</v>
      </c>
      <c r="F70" s="1" t="s">
        <v>227</v>
      </c>
      <c r="G70" s="1">
        <v>3</v>
      </c>
    </row>
    <row r="71" spans="1:7" x14ac:dyDescent="0.25">
      <c r="A71" s="1" t="s">
        <v>220</v>
      </c>
      <c r="B71" s="1" t="s">
        <v>112</v>
      </c>
      <c r="C71" s="1" t="s">
        <v>168</v>
      </c>
      <c r="D71" s="1" t="s">
        <v>216</v>
      </c>
      <c r="F71" s="1" t="s">
        <v>227</v>
      </c>
      <c r="G71" s="1">
        <v>2</v>
      </c>
    </row>
    <row r="72" spans="1:7" x14ac:dyDescent="0.25">
      <c r="A72" s="1" t="s">
        <v>222</v>
      </c>
      <c r="B72" s="1" t="s">
        <v>111</v>
      </c>
      <c r="C72" s="1" t="s">
        <v>168</v>
      </c>
      <c r="D72" s="1" t="s">
        <v>216</v>
      </c>
      <c r="F72" s="1" t="s">
        <v>227</v>
      </c>
      <c r="G72" s="1">
        <v>2</v>
      </c>
    </row>
    <row r="73" spans="1:7" x14ac:dyDescent="0.25">
      <c r="A73" s="1" t="s">
        <v>221</v>
      </c>
      <c r="B73" s="1" t="s">
        <v>114</v>
      </c>
      <c r="C73" s="1" t="s">
        <v>168</v>
      </c>
      <c r="D73" s="1" t="s">
        <v>216</v>
      </c>
      <c r="F73" s="1" t="s">
        <v>222</v>
      </c>
      <c r="G73" s="1">
        <v>3</v>
      </c>
    </row>
    <row r="74" spans="1:7" x14ac:dyDescent="0.25">
      <c r="A74" s="1" t="s">
        <v>228</v>
      </c>
      <c r="B74" s="1" t="s">
        <v>113</v>
      </c>
      <c r="C74" s="1" t="s">
        <v>168</v>
      </c>
      <c r="D74" s="1" t="s">
        <v>216</v>
      </c>
      <c r="F74" s="1" t="s">
        <v>221</v>
      </c>
      <c r="G74" s="1">
        <v>3</v>
      </c>
    </row>
    <row r="75" spans="1:7" x14ac:dyDescent="0.25">
      <c r="A75" s="1" t="s">
        <v>223</v>
      </c>
      <c r="B75" s="1" t="s">
        <v>131</v>
      </c>
      <c r="C75" s="1" t="s">
        <v>168</v>
      </c>
      <c r="D75" s="1" t="s">
        <v>216</v>
      </c>
      <c r="F75" s="1" t="s">
        <v>228</v>
      </c>
      <c r="G75" s="1">
        <v>4</v>
      </c>
    </row>
    <row r="76" spans="1:7" x14ac:dyDescent="0.25">
      <c r="A76" s="1" t="s">
        <v>234</v>
      </c>
      <c r="B76" s="1" t="s">
        <v>235</v>
      </c>
      <c r="C76" s="1" t="s">
        <v>168</v>
      </c>
      <c r="F76" s="1" t="s">
        <v>228</v>
      </c>
      <c r="G76" s="1">
        <v>4</v>
      </c>
    </row>
    <row r="80" spans="1:7" x14ac:dyDescent="0.25">
      <c r="A80" s="12" t="s">
        <v>254</v>
      </c>
    </row>
    <row r="81" spans="1:7" x14ac:dyDescent="0.25">
      <c r="A81" s="12"/>
    </row>
    <row r="82" spans="1:7" x14ac:dyDescent="0.25">
      <c r="A82" s="1" t="s">
        <v>246</v>
      </c>
      <c r="B82" s="1" t="s">
        <v>245</v>
      </c>
      <c r="C82" s="1" t="s">
        <v>236</v>
      </c>
      <c r="D82" s="1" t="s">
        <v>237</v>
      </c>
      <c r="G82" s="1">
        <v>1</v>
      </c>
    </row>
    <row r="83" spans="1:7" x14ac:dyDescent="0.25">
      <c r="A83" s="1" t="s">
        <v>247</v>
      </c>
      <c r="B83" s="1" t="s">
        <v>244</v>
      </c>
      <c r="C83" s="1" t="s">
        <v>236</v>
      </c>
      <c r="D83" s="1" t="s">
        <v>237</v>
      </c>
      <c r="F83" s="1" t="s">
        <v>246</v>
      </c>
      <c r="G83" s="1">
        <v>2</v>
      </c>
    </row>
    <row r="84" spans="1:7" x14ac:dyDescent="0.25">
      <c r="A84" s="1" t="s">
        <v>238</v>
      </c>
      <c r="B84" s="1" t="s">
        <v>118</v>
      </c>
      <c r="C84" s="1" t="s">
        <v>236</v>
      </c>
      <c r="D84" s="1" t="s">
        <v>237</v>
      </c>
      <c r="F84" s="1" t="s">
        <v>247</v>
      </c>
      <c r="G84" s="1">
        <v>3</v>
      </c>
    </row>
    <row r="85" spans="1:7" x14ac:dyDescent="0.25">
      <c r="A85" s="1" t="s">
        <v>240</v>
      </c>
      <c r="B85" s="1" t="s">
        <v>239</v>
      </c>
      <c r="C85" s="1" t="s">
        <v>236</v>
      </c>
      <c r="D85" s="1" t="s">
        <v>237</v>
      </c>
      <c r="F85" s="1" t="s">
        <v>238</v>
      </c>
      <c r="G85" s="1">
        <v>3</v>
      </c>
    </row>
    <row r="86" spans="1:7" x14ac:dyDescent="0.25">
      <c r="A86" s="1" t="s">
        <v>241</v>
      </c>
      <c r="B86" s="1" t="s">
        <v>123</v>
      </c>
      <c r="C86" s="1" t="s">
        <v>236</v>
      </c>
      <c r="D86" s="1" t="s">
        <v>237</v>
      </c>
      <c r="F86" s="1" t="s">
        <v>238</v>
      </c>
      <c r="G86" s="1">
        <v>4</v>
      </c>
    </row>
    <row r="87" spans="1:7" x14ac:dyDescent="0.25">
      <c r="A87" s="1" t="s">
        <v>242</v>
      </c>
      <c r="B87" s="1" t="s">
        <v>124</v>
      </c>
      <c r="C87" s="1" t="s">
        <v>236</v>
      </c>
      <c r="D87" s="1" t="s">
        <v>237</v>
      </c>
      <c r="F87" s="1" t="s">
        <v>241</v>
      </c>
      <c r="G87" s="1">
        <v>4</v>
      </c>
    </row>
    <row r="88" spans="1:7" x14ac:dyDescent="0.25">
      <c r="A88" s="1" t="s">
        <v>243</v>
      </c>
      <c r="B88" s="1" t="s">
        <v>132</v>
      </c>
      <c r="C88" s="1" t="s">
        <v>236</v>
      </c>
      <c r="D88" s="1" t="s">
        <v>237</v>
      </c>
      <c r="F88" s="1" t="s">
        <v>242</v>
      </c>
      <c r="G88" s="1">
        <v>5</v>
      </c>
    </row>
    <row r="92" spans="1:7" x14ac:dyDescent="0.25">
      <c r="A92" s="12" t="s">
        <v>233</v>
      </c>
    </row>
    <row r="94" spans="1:7" x14ac:dyDescent="0.25">
      <c r="A94" s="1" t="s">
        <v>248</v>
      </c>
      <c r="B94" s="1" t="s">
        <v>115</v>
      </c>
      <c r="C94" s="1" t="s">
        <v>236</v>
      </c>
      <c r="G94" s="1">
        <v>0</v>
      </c>
    </row>
    <row r="95" spans="1:7" x14ac:dyDescent="0.25">
      <c r="A95" s="1" t="s">
        <v>236</v>
      </c>
      <c r="B95" s="1" t="s">
        <v>116</v>
      </c>
      <c r="C95" s="1" t="s">
        <v>236</v>
      </c>
      <c r="F95" s="1" t="s">
        <v>248</v>
      </c>
      <c r="G95" s="1">
        <v>1</v>
      </c>
    </row>
    <row r="96" spans="1:7" x14ac:dyDescent="0.25">
      <c r="A96" s="1" t="s">
        <v>260</v>
      </c>
      <c r="B96" s="1" t="s">
        <v>136</v>
      </c>
      <c r="C96" s="1" t="s">
        <v>236</v>
      </c>
      <c r="F96" s="1" t="s">
        <v>236</v>
      </c>
      <c r="G96" s="1">
        <v>1</v>
      </c>
    </row>
    <row r="98" spans="1:7" x14ac:dyDescent="0.25">
      <c r="A98" s="1" t="s">
        <v>253</v>
      </c>
      <c r="B98" s="1" t="s">
        <v>127</v>
      </c>
      <c r="C98" s="1" t="s">
        <v>236</v>
      </c>
      <c r="D98" s="1" t="s">
        <v>253</v>
      </c>
      <c r="F98" s="1" t="s">
        <v>236</v>
      </c>
      <c r="G98" s="1">
        <v>2</v>
      </c>
    </row>
    <row r="99" spans="1:7" x14ac:dyDescent="0.25">
      <c r="A99" s="1" t="s">
        <v>255</v>
      </c>
      <c r="B99" s="1" t="s">
        <v>128</v>
      </c>
      <c r="C99" s="1" t="s">
        <v>236</v>
      </c>
      <c r="D99" s="1" t="s">
        <v>253</v>
      </c>
      <c r="F99" s="1" t="s">
        <v>253</v>
      </c>
      <c r="G99" s="1">
        <v>3</v>
      </c>
    </row>
    <row r="100" spans="1:7" x14ac:dyDescent="0.25">
      <c r="A100" s="1" t="s">
        <v>256</v>
      </c>
      <c r="B100" s="1" t="s">
        <v>129</v>
      </c>
      <c r="C100" s="1" t="s">
        <v>236</v>
      </c>
      <c r="D100" s="1" t="s">
        <v>253</v>
      </c>
      <c r="F100" s="1" t="s">
        <v>255</v>
      </c>
      <c r="G100" s="1">
        <v>4</v>
      </c>
    </row>
    <row r="101" spans="1:7" x14ac:dyDescent="0.25">
      <c r="A101" s="1" t="s">
        <v>257</v>
      </c>
      <c r="B101" s="1" t="s">
        <v>130</v>
      </c>
      <c r="C101" s="1" t="s">
        <v>236</v>
      </c>
      <c r="D101" s="1" t="s">
        <v>253</v>
      </c>
      <c r="F101" s="1" t="s">
        <v>256</v>
      </c>
      <c r="G101" s="1">
        <v>5</v>
      </c>
    </row>
    <row r="103" spans="1:7" x14ac:dyDescent="0.25">
      <c r="A103" s="1" t="s">
        <v>249</v>
      </c>
      <c r="B103" s="1" t="s">
        <v>125</v>
      </c>
      <c r="C103" s="1" t="s">
        <v>236</v>
      </c>
      <c r="D103" s="1" t="s">
        <v>252</v>
      </c>
      <c r="F103" s="1" t="s">
        <v>253</v>
      </c>
      <c r="G103" s="1">
        <v>2</v>
      </c>
    </row>
    <row r="104" spans="1:7" x14ac:dyDescent="0.25">
      <c r="A104" s="1" t="s">
        <v>251</v>
      </c>
      <c r="B104" s="1" t="s">
        <v>250</v>
      </c>
      <c r="C104" s="1" t="s">
        <v>236</v>
      </c>
      <c r="D104" s="1" t="s">
        <v>252</v>
      </c>
      <c r="F104" s="1" t="s">
        <v>255</v>
      </c>
      <c r="G104" s="1">
        <v>4</v>
      </c>
    </row>
    <row r="106" spans="1:7" x14ac:dyDescent="0.25">
      <c r="B106" s="1" t="s">
        <v>334</v>
      </c>
    </row>
    <row r="113" spans="1:7" x14ac:dyDescent="0.25">
      <c r="A113" s="12" t="s">
        <v>259</v>
      </c>
    </row>
    <row r="115" spans="1:7" x14ac:dyDescent="0.25">
      <c r="A115" s="1" t="s">
        <v>261</v>
      </c>
      <c r="B115" s="1" t="s">
        <v>214</v>
      </c>
      <c r="C115" s="1" t="s">
        <v>236</v>
      </c>
      <c r="D115" s="1" t="s">
        <v>264</v>
      </c>
      <c r="F115" s="1" t="s">
        <v>260</v>
      </c>
      <c r="G115" s="1">
        <v>2</v>
      </c>
    </row>
    <row r="116" spans="1:7" x14ac:dyDescent="0.25">
      <c r="A116" s="1" t="s">
        <v>262</v>
      </c>
      <c r="B116" s="1" t="s">
        <v>137</v>
      </c>
      <c r="C116" s="1" t="s">
        <v>236</v>
      </c>
      <c r="D116" s="1" t="s">
        <v>264</v>
      </c>
      <c r="F116" s="1" t="s">
        <v>261</v>
      </c>
      <c r="G116" s="1">
        <v>3</v>
      </c>
    </row>
    <row r="117" spans="1:7" x14ac:dyDescent="0.25">
      <c r="A117" s="1" t="s">
        <v>263</v>
      </c>
      <c r="B117" s="1" t="s">
        <v>138</v>
      </c>
      <c r="C117" s="1" t="s">
        <v>236</v>
      </c>
      <c r="D117" s="1" t="s">
        <v>264</v>
      </c>
      <c r="F117" s="1" t="s">
        <v>262</v>
      </c>
      <c r="G117" s="1">
        <v>4</v>
      </c>
    </row>
    <row r="120" spans="1:7" x14ac:dyDescent="0.25">
      <c r="A120" s="1" t="s">
        <v>268</v>
      </c>
      <c r="B120" s="1" t="s">
        <v>267</v>
      </c>
      <c r="C120" s="1" t="s">
        <v>264</v>
      </c>
      <c r="D120" s="1" t="s">
        <v>187</v>
      </c>
      <c r="F120" s="1" t="s">
        <v>261</v>
      </c>
      <c r="G120" s="1">
        <v>2</v>
      </c>
    </row>
    <row r="121" spans="1:7" x14ac:dyDescent="0.25">
      <c r="A121" s="1" t="s">
        <v>266</v>
      </c>
      <c r="B121" s="1" t="s">
        <v>265</v>
      </c>
      <c r="C121" s="1" t="s">
        <v>264</v>
      </c>
      <c r="D121" s="1" t="s">
        <v>187</v>
      </c>
      <c r="F121" s="1" t="s">
        <v>261</v>
      </c>
      <c r="G121" s="1">
        <v>2</v>
      </c>
    </row>
    <row r="123" spans="1:7" x14ac:dyDescent="0.25">
      <c r="A123" s="1" t="s">
        <v>270</v>
      </c>
      <c r="B123" s="1" t="s">
        <v>283</v>
      </c>
      <c r="C123" s="1" t="s">
        <v>264</v>
      </c>
      <c r="D123" s="1" t="s">
        <v>216</v>
      </c>
      <c r="F123" s="1" t="s">
        <v>262</v>
      </c>
      <c r="G123" s="1">
        <v>3</v>
      </c>
    </row>
    <row r="124" spans="1:7" x14ac:dyDescent="0.25">
      <c r="A124" s="1" t="s">
        <v>271</v>
      </c>
      <c r="B124" s="1" t="s">
        <v>284</v>
      </c>
      <c r="C124" s="1" t="s">
        <v>264</v>
      </c>
      <c r="D124" s="1" t="s">
        <v>187</v>
      </c>
      <c r="F124" s="1" t="s">
        <v>262</v>
      </c>
      <c r="G124" s="1">
        <v>3</v>
      </c>
    </row>
    <row r="125" spans="1:7" x14ac:dyDescent="0.25">
      <c r="A125" s="1" t="s">
        <v>272</v>
      </c>
      <c r="B125" s="1" t="s">
        <v>285</v>
      </c>
      <c r="C125" s="1" t="s">
        <v>264</v>
      </c>
      <c r="D125" s="1" t="s">
        <v>187</v>
      </c>
      <c r="F125" s="1" t="s">
        <v>262</v>
      </c>
      <c r="G125" s="1">
        <v>3</v>
      </c>
    </row>
    <row r="126" spans="1:7" x14ac:dyDescent="0.25">
      <c r="A126" s="1" t="s">
        <v>273</v>
      </c>
      <c r="B126" s="1" t="s">
        <v>286</v>
      </c>
      <c r="C126" s="1" t="s">
        <v>264</v>
      </c>
      <c r="D126" s="1" t="s">
        <v>187</v>
      </c>
      <c r="F126" s="1" t="s">
        <v>262</v>
      </c>
      <c r="G126" s="1">
        <v>3</v>
      </c>
    </row>
    <row r="127" spans="1:7" x14ac:dyDescent="0.25">
      <c r="A127" s="1" t="s">
        <v>274</v>
      </c>
      <c r="B127" s="1" t="s">
        <v>287</v>
      </c>
      <c r="C127" s="1" t="s">
        <v>264</v>
      </c>
      <c r="D127" s="1" t="s">
        <v>269</v>
      </c>
      <c r="F127" s="1" t="s">
        <v>262</v>
      </c>
      <c r="G127" s="1">
        <v>3</v>
      </c>
    </row>
    <row r="129" spans="1:7" x14ac:dyDescent="0.25">
      <c r="A129" s="1" t="s">
        <v>275</v>
      </c>
      <c r="B129" s="1" t="s">
        <v>288</v>
      </c>
      <c r="C129" s="1" t="s">
        <v>264</v>
      </c>
      <c r="D129" s="1" t="s">
        <v>216</v>
      </c>
      <c r="F129" s="1" t="s">
        <v>263</v>
      </c>
      <c r="G129" s="1">
        <v>4</v>
      </c>
    </row>
    <row r="130" spans="1:7" x14ac:dyDescent="0.25">
      <c r="A130" s="1" t="s">
        <v>276</v>
      </c>
      <c r="B130" s="1" t="s">
        <v>289</v>
      </c>
      <c r="C130" s="1" t="s">
        <v>264</v>
      </c>
      <c r="D130" s="1" t="s">
        <v>187</v>
      </c>
      <c r="F130" s="1" t="s">
        <v>263</v>
      </c>
      <c r="G130" s="1">
        <v>4</v>
      </c>
    </row>
    <row r="131" spans="1:7" x14ac:dyDescent="0.25">
      <c r="A131" s="1" t="s">
        <v>277</v>
      </c>
      <c r="B131" s="1" t="s">
        <v>290</v>
      </c>
      <c r="C131" s="1" t="s">
        <v>264</v>
      </c>
      <c r="D131" s="1" t="s">
        <v>187</v>
      </c>
      <c r="F131" s="1" t="s">
        <v>263</v>
      </c>
      <c r="G131" s="1">
        <v>4</v>
      </c>
    </row>
    <row r="132" spans="1:7" x14ac:dyDescent="0.25">
      <c r="A132" s="1" t="s">
        <v>278</v>
      </c>
      <c r="B132" s="1" t="s">
        <v>291</v>
      </c>
      <c r="C132" s="1" t="s">
        <v>264</v>
      </c>
      <c r="D132" s="1" t="s">
        <v>187</v>
      </c>
      <c r="F132" s="1" t="s">
        <v>263</v>
      </c>
      <c r="G132" s="1">
        <v>4</v>
      </c>
    </row>
    <row r="133" spans="1:7" x14ac:dyDescent="0.25">
      <c r="A133" s="1" t="s">
        <v>279</v>
      </c>
      <c r="B133" s="1" t="s">
        <v>292</v>
      </c>
      <c r="C133" s="1" t="s">
        <v>264</v>
      </c>
      <c r="D133" s="1" t="s">
        <v>187</v>
      </c>
      <c r="F133" s="1" t="s">
        <v>263</v>
      </c>
      <c r="G133" s="1">
        <v>4</v>
      </c>
    </row>
    <row r="134" spans="1:7" x14ac:dyDescent="0.25">
      <c r="A134" s="1" t="s">
        <v>280</v>
      </c>
      <c r="B134" s="1" t="s">
        <v>293</v>
      </c>
      <c r="C134" s="1" t="s">
        <v>264</v>
      </c>
      <c r="D134" s="1" t="s">
        <v>269</v>
      </c>
      <c r="F134" s="1" t="s">
        <v>263</v>
      </c>
      <c r="G134" s="1">
        <v>4</v>
      </c>
    </row>
    <row r="135" spans="1:7" x14ac:dyDescent="0.25">
      <c r="A135" s="1" t="s">
        <v>281</v>
      </c>
      <c r="B135" s="1" t="s">
        <v>139</v>
      </c>
      <c r="C135" s="1" t="s">
        <v>264</v>
      </c>
      <c r="D135" s="1" t="s">
        <v>269</v>
      </c>
      <c r="F135" s="1" t="s">
        <v>279</v>
      </c>
      <c r="G135" s="1">
        <v>4</v>
      </c>
    </row>
    <row r="139" spans="1:7" x14ac:dyDescent="0.25">
      <c r="A139" s="12" t="s">
        <v>282</v>
      </c>
    </row>
    <row r="141" spans="1:7" x14ac:dyDescent="0.25">
      <c r="A141" s="1" t="s">
        <v>294</v>
      </c>
      <c r="B141" s="1" t="s">
        <v>134</v>
      </c>
      <c r="C141" s="1" t="s">
        <v>297</v>
      </c>
      <c r="G141" s="1">
        <v>2</v>
      </c>
    </row>
    <row r="142" spans="1:7" x14ac:dyDescent="0.25">
      <c r="A142" s="1" t="s">
        <v>295</v>
      </c>
      <c r="B142" s="1" t="s">
        <v>258</v>
      </c>
      <c r="C142" s="1" t="s">
        <v>297</v>
      </c>
      <c r="F142" s="1" t="s">
        <v>294</v>
      </c>
      <c r="G142" s="1">
        <v>3</v>
      </c>
    </row>
    <row r="143" spans="1:7" x14ac:dyDescent="0.25">
      <c r="A143" s="1" t="s">
        <v>296</v>
      </c>
      <c r="B143" s="1" t="s">
        <v>135</v>
      </c>
      <c r="C143" s="1" t="s">
        <v>297</v>
      </c>
      <c r="F143" s="1" t="s">
        <v>295</v>
      </c>
      <c r="G143" s="1">
        <v>4</v>
      </c>
    </row>
    <row r="147" spans="1:4" x14ac:dyDescent="0.25">
      <c r="A147" s="1" t="s">
        <v>190</v>
      </c>
    </row>
    <row r="150" spans="1:4" x14ac:dyDescent="0.25">
      <c r="A150" s="1" t="s">
        <v>510</v>
      </c>
    </row>
    <row r="151" spans="1:4" x14ac:dyDescent="0.25">
      <c r="B151" s="1" t="s">
        <v>781</v>
      </c>
    </row>
    <row r="152" spans="1:4" x14ac:dyDescent="0.25">
      <c r="B152" s="1" t="s">
        <v>782</v>
      </c>
    </row>
    <row r="154" spans="1:4" x14ac:dyDescent="0.25">
      <c r="B154" s="1" t="s">
        <v>335</v>
      </c>
    </row>
    <row r="155" spans="1:4" x14ac:dyDescent="0.25">
      <c r="B155" s="1" t="s">
        <v>336</v>
      </c>
    </row>
    <row r="156" spans="1:4" x14ac:dyDescent="0.25">
      <c r="B156" s="1" t="s">
        <v>337</v>
      </c>
    </row>
    <row r="157" spans="1:4" x14ac:dyDescent="0.25">
      <c r="B157" s="1" t="s">
        <v>338</v>
      </c>
    </row>
    <row r="158" spans="1:4" x14ac:dyDescent="0.25">
      <c r="B158" s="1" t="s">
        <v>339</v>
      </c>
    </row>
    <row r="159" spans="1:4" x14ac:dyDescent="0.25">
      <c r="D159" s="1" t="s">
        <v>48</v>
      </c>
    </row>
    <row r="160" spans="1:4" x14ac:dyDescent="0.25">
      <c r="B160" s="1" t="s">
        <v>365</v>
      </c>
      <c r="D160" s="1" t="s">
        <v>52</v>
      </c>
    </row>
    <row r="161" spans="2:4" x14ac:dyDescent="0.25">
      <c r="B161" s="1" t="s">
        <v>364</v>
      </c>
      <c r="D161" s="1" t="s">
        <v>53</v>
      </c>
    </row>
    <row r="162" spans="2:4" x14ac:dyDescent="0.25">
      <c r="D162" s="1" t="s">
        <v>54</v>
      </c>
    </row>
    <row r="164" spans="2:4" x14ac:dyDescent="0.25">
      <c r="D164" s="1" t="s">
        <v>55</v>
      </c>
    </row>
    <row r="165" spans="2:4" x14ac:dyDescent="0.25">
      <c r="B165" s="1" t="s">
        <v>340</v>
      </c>
      <c r="D165" s="1" t="s">
        <v>56</v>
      </c>
    </row>
    <row r="166" spans="2:4" x14ac:dyDescent="0.25">
      <c r="B166" s="1" t="s">
        <v>342</v>
      </c>
      <c r="D166" s="1" t="s">
        <v>57</v>
      </c>
    </row>
    <row r="167" spans="2:4" x14ac:dyDescent="0.25">
      <c r="B167" s="1" t="s">
        <v>341</v>
      </c>
      <c r="D167" s="1" t="s">
        <v>58</v>
      </c>
    </row>
    <row r="168" spans="2:4" x14ac:dyDescent="0.25">
      <c r="D168" s="1" t="s">
        <v>59</v>
      </c>
    </row>
    <row r="169" spans="2:4" x14ac:dyDescent="0.25">
      <c r="B169" s="1" t="s">
        <v>343</v>
      </c>
    </row>
    <row r="170" spans="2:4" x14ac:dyDescent="0.25">
      <c r="B170" s="1" t="s">
        <v>344</v>
      </c>
    </row>
    <row r="171" spans="2:4" x14ac:dyDescent="0.25">
      <c r="D171" s="1" t="s">
        <v>68</v>
      </c>
    </row>
    <row r="172" spans="2:4" x14ac:dyDescent="0.25">
      <c r="D172" s="1" t="s">
        <v>69</v>
      </c>
    </row>
    <row r="173" spans="2:4" x14ac:dyDescent="0.25">
      <c r="D173" s="1" t="s">
        <v>70</v>
      </c>
    </row>
    <row r="174" spans="2:4" x14ac:dyDescent="0.25">
      <c r="B174" s="1" t="s">
        <v>346</v>
      </c>
      <c r="D174" s="1" t="s">
        <v>71</v>
      </c>
    </row>
    <row r="175" spans="2:4" x14ac:dyDescent="0.25">
      <c r="D175" s="1" t="s">
        <v>72</v>
      </c>
    </row>
    <row r="177" spans="2:4" x14ac:dyDescent="0.25">
      <c r="B177" s="1" t="s">
        <v>347</v>
      </c>
      <c r="D177" s="1" t="s">
        <v>73</v>
      </c>
    </row>
    <row r="178" spans="2:4" x14ac:dyDescent="0.25">
      <c r="B178" s="1" t="s">
        <v>349</v>
      </c>
      <c r="D178" s="1" t="s">
        <v>74</v>
      </c>
    </row>
    <row r="179" spans="2:4" x14ac:dyDescent="0.25">
      <c r="B179" s="1" t="s">
        <v>348</v>
      </c>
      <c r="D179" s="1" t="s">
        <v>77</v>
      </c>
    </row>
    <row r="180" spans="2:4" x14ac:dyDescent="0.25">
      <c r="D180" s="1" t="s">
        <v>76</v>
      </c>
    </row>
    <row r="181" spans="2:4" x14ac:dyDescent="0.25">
      <c r="B181" s="1" t="s">
        <v>351</v>
      </c>
      <c r="D181" s="1" t="s">
        <v>75</v>
      </c>
    </row>
    <row r="182" spans="2:4" x14ac:dyDescent="0.25">
      <c r="B182" s="1" t="s">
        <v>350</v>
      </c>
    </row>
    <row r="183" spans="2:4" x14ac:dyDescent="0.25">
      <c r="D183" s="1" t="s">
        <v>80</v>
      </c>
    </row>
    <row r="184" spans="2:4" x14ac:dyDescent="0.25">
      <c r="B184" s="1" t="s">
        <v>352</v>
      </c>
      <c r="D184" s="1" t="s">
        <v>81</v>
      </c>
    </row>
    <row r="185" spans="2:4" x14ac:dyDescent="0.25">
      <c r="D185" s="1" t="s">
        <v>82</v>
      </c>
    </row>
    <row r="186" spans="2:4" x14ac:dyDescent="0.25">
      <c r="D186" s="1" t="s">
        <v>85</v>
      </c>
    </row>
    <row r="187" spans="2:4" x14ac:dyDescent="0.25">
      <c r="D187" s="1" t="s">
        <v>503</v>
      </c>
    </row>
    <row r="188" spans="2:4" x14ac:dyDescent="0.25">
      <c r="B188" s="1" t="s">
        <v>356</v>
      </c>
      <c r="D188" s="1" t="s">
        <v>84</v>
      </c>
    </row>
    <row r="189" spans="2:4" x14ac:dyDescent="0.25">
      <c r="B189" s="1" t="s">
        <v>357</v>
      </c>
      <c r="D189" s="1" t="s">
        <v>83</v>
      </c>
    </row>
    <row r="190" spans="2:4" x14ac:dyDescent="0.25">
      <c r="B190" s="1" t="s">
        <v>358</v>
      </c>
    </row>
    <row r="191" spans="2:4" x14ac:dyDescent="0.25">
      <c r="D191" s="1" t="s">
        <v>86</v>
      </c>
    </row>
    <row r="192" spans="2:4" x14ac:dyDescent="0.25">
      <c r="D192" s="1" t="s">
        <v>87</v>
      </c>
    </row>
    <row r="193" spans="2:4" x14ac:dyDescent="0.25">
      <c r="B193" s="1" t="s">
        <v>353</v>
      </c>
      <c r="D193" s="1" t="s">
        <v>89</v>
      </c>
    </row>
    <row r="194" spans="2:4" x14ac:dyDescent="0.25">
      <c r="B194" s="1" t="s">
        <v>354</v>
      </c>
      <c r="D194" s="1" t="s">
        <v>88</v>
      </c>
    </row>
    <row r="195" spans="2:4" x14ac:dyDescent="0.25">
      <c r="B195" s="1" t="s">
        <v>355</v>
      </c>
      <c r="D195" s="1" t="s">
        <v>90</v>
      </c>
    </row>
    <row r="197" spans="2:4" x14ac:dyDescent="0.25">
      <c r="D197" s="1" t="s">
        <v>94</v>
      </c>
    </row>
    <row r="198" spans="2:4" x14ac:dyDescent="0.25">
      <c r="D198" s="1" t="s">
        <v>95</v>
      </c>
    </row>
    <row r="199" spans="2:4" x14ac:dyDescent="0.25">
      <c r="B199" s="1" t="s">
        <v>360</v>
      </c>
      <c r="D199" s="1" t="s">
        <v>96</v>
      </c>
    </row>
    <row r="200" spans="2:4" x14ac:dyDescent="0.25">
      <c r="B200" s="1" t="s">
        <v>361</v>
      </c>
      <c r="D200" s="1" t="s">
        <v>97</v>
      </c>
    </row>
    <row r="201" spans="2:4" x14ac:dyDescent="0.25">
      <c r="B201" s="1" t="s">
        <v>359</v>
      </c>
      <c r="D201" s="1" t="s">
        <v>98</v>
      </c>
    </row>
    <row r="202" spans="2:4" x14ac:dyDescent="0.25">
      <c r="B202" s="1" t="s">
        <v>362</v>
      </c>
      <c r="D202" s="1" t="s">
        <v>99</v>
      </c>
    </row>
    <row r="203" spans="2:4" x14ac:dyDescent="0.25">
      <c r="D203" s="1" t="s">
        <v>101</v>
      </c>
    </row>
    <row r="204" spans="2:4" x14ac:dyDescent="0.25">
      <c r="B204" s="1" t="s">
        <v>363</v>
      </c>
      <c r="D204" s="1" t="s">
        <v>100</v>
      </c>
    </row>
    <row r="205" spans="2:4" x14ac:dyDescent="0.25">
      <c r="B205" s="1" t="s">
        <v>366</v>
      </c>
      <c r="D205" s="1" t="s">
        <v>92</v>
      </c>
    </row>
    <row r="206" spans="2:4" x14ac:dyDescent="0.25">
      <c r="B206" s="1" t="s">
        <v>367</v>
      </c>
      <c r="D206" s="1" t="s">
        <v>91</v>
      </c>
    </row>
    <row r="207" spans="2:4" x14ac:dyDescent="0.25">
      <c r="D207" s="1" t="s">
        <v>93</v>
      </c>
    </row>
    <row r="208" spans="2:4" x14ac:dyDescent="0.25">
      <c r="D208" s="1" t="s">
        <v>103</v>
      </c>
    </row>
    <row r="209" spans="2:4" x14ac:dyDescent="0.25">
      <c r="D209" s="1" t="s">
        <v>102</v>
      </c>
    </row>
    <row r="212" spans="2:4" x14ac:dyDescent="0.25">
      <c r="B212" s="1" t="s">
        <v>731</v>
      </c>
    </row>
    <row r="213" spans="2:4" x14ac:dyDescent="0.25">
      <c r="B213" s="1" t="s">
        <v>370</v>
      </c>
    </row>
    <row r="214" spans="2:4" x14ac:dyDescent="0.25">
      <c r="B214" s="1" t="s">
        <v>368</v>
      </c>
    </row>
    <row r="215" spans="2:4" x14ac:dyDescent="0.25">
      <c r="B215" s="1" t="s">
        <v>369</v>
      </c>
    </row>
    <row r="218" spans="2:4" x14ac:dyDescent="0.25">
      <c r="B218" s="1" t="s">
        <v>371</v>
      </c>
    </row>
    <row r="219" spans="2:4" x14ac:dyDescent="0.25">
      <c r="B219" s="1" t="s">
        <v>372</v>
      </c>
    </row>
    <row r="222" spans="2:4" x14ac:dyDescent="0.25">
      <c r="B222" s="1" t="s">
        <v>373</v>
      </c>
    </row>
    <row r="225" spans="2:3" x14ac:dyDescent="0.25">
      <c r="B225" s="1" t="s">
        <v>374</v>
      </c>
    </row>
    <row r="226" spans="2:3" x14ac:dyDescent="0.25">
      <c r="B226" s="1" t="s">
        <v>375</v>
      </c>
    </row>
    <row r="229" spans="2:3" x14ac:dyDescent="0.25">
      <c r="B229" s="1" t="s">
        <v>377</v>
      </c>
    </row>
    <row r="230" spans="2:3" x14ac:dyDescent="0.25">
      <c r="B230" s="1" t="s">
        <v>376</v>
      </c>
    </row>
    <row r="231" spans="2:3" x14ac:dyDescent="0.25">
      <c r="B231" s="1" t="s">
        <v>378</v>
      </c>
    </row>
    <row r="232" spans="2:3" x14ac:dyDescent="0.25">
      <c r="B232" s="1" t="s">
        <v>379</v>
      </c>
    </row>
    <row r="233" spans="2:3" x14ac:dyDescent="0.25">
      <c r="B233" s="1" t="s">
        <v>380</v>
      </c>
    </row>
    <row r="239" spans="2:3" x14ac:dyDescent="0.25">
      <c r="B239" s="1" t="s">
        <v>413</v>
      </c>
      <c r="C239" s="1" t="s">
        <v>420</v>
      </c>
    </row>
    <row r="240" spans="2:3" x14ac:dyDescent="0.25">
      <c r="B240" s="1" t="s">
        <v>414</v>
      </c>
      <c r="C240" s="1" t="s">
        <v>420</v>
      </c>
    </row>
    <row r="241" spans="2:3" x14ac:dyDescent="0.25">
      <c r="B241" s="1" t="s">
        <v>415</v>
      </c>
      <c r="C241" s="1" t="s">
        <v>420</v>
      </c>
    </row>
    <row r="242" spans="2:3" x14ac:dyDescent="0.25">
      <c r="B242" s="1" t="s">
        <v>416</v>
      </c>
      <c r="C242" s="1" t="s">
        <v>420</v>
      </c>
    </row>
    <row r="243" spans="2:3" x14ac:dyDescent="0.25">
      <c r="B243" s="1" t="s">
        <v>412</v>
      </c>
      <c r="C243" s="1" t="s">
        <v>420</v>
      </c>
    </row>
    <row r="245" spans="2:3" x14ac:dyDescent="0.25">
      <c r="B245" s="1" t="s">
        <v>417</v>
      </c>
      <c r="C245" s="1" t="s">
        <v>420</v>
      </c>
    </row>
    <row r="246" spans="2:3" x14ac:dyDescent="0.25">
      <c r="B246" s="1" t="s">
        <v>418</v>
      </c>
      <c r="C246" s="1" t="s">
        <v>420</v>
      </c>
    </row>
    <row r="247" spans="2:3" x14ac:dyDescent="0.25">
      <c r="B247" s="1" t="s">
        <v>419</v>
      </c>
      <c r="C247" s="1" t="s">
        <v>420</v>
      </c>
    </row>
    <row r="253" spans="2:3" x14ac:dyDescent="0.25">
      <c r="B253" s="1" t="s">
        <v>421</v>
      </c>
    </row>
    <row r="254" spans="2:3" x14ac:dyDescent="0.25">
      <c r="B254" s="1" t="s">
        <v>422</v>
      </c>
    </row>
    <row r="258" spans="2:3" x14ac:dyDescent="0.25">
      <c r="C258" s="1" t="s">
        <v>423</v>
      </c>
    </row>
    <row r="259" spans="2:3" x14ac:dyDescent="0.25">
      <c r="B259" s="1" t="s">
        <v>424</v>
      </c>
      <c r="C259" s="1" t="s">
        <v>429</v>
      </c>
    </row>
    <row r="260" spans="2:3" x14ac:dyDescent="0.25">
      <c r="B260" s="1" t="s">
        <v>425</v>
      </c>
      <c r="C260" s="1" t="s">
        <v>426</v>
      </c>
    </row>
    <row r="261" spans="2:3" x14ac:dyDescent="0.25">
      <c r="B261" s="1" t="s">
        <v>427</v>
      </c>
      <c r="C261" s="1" t="s">
        <v>428</v>
      </c>
    </row>
    <row r="262" spans="2:3" x14ac:dyDescent="0.25">
      <c r="B262" s="1" t="s">
        <v>435</v>
      </c>
      <c r="C262" s="1" t="s">
        <v>437</v>
      </c>
    </row>
    <row r="263" spans="2:3" x14ac:dyDescent="0.25">
      <c r="B263" s="1" t="s">
        <v>436</v>
      </c>
      <c r="C263" s="1" t="s">
        <v>437</v>
      </c>
    </row>
    <row r="265" spans="2:3" x14ac:dyDescent="0.25">
      <c r="B265" s="1" t="s">
        <v>430</v>
      </c>
    </row>
    <row r="266" spans="2:3" x14ac:dyDescent="0.25">
      <c r="B266" s="1" t="s">
        <v>431</v>
      </c>
    </row>
    <row r="267" spans="2:3" x14ac:dyDescent="0.25">
      <c r="B267" s="1" t="s">
        <v>432</v>
      </c>
    </row>
    <row r="268" spans="2:3" x14ac:dyDescent="0.25">
      <c r="B268" s="1" t="s">
        <v>433</v>
      </c>
    </row>
    <row r="269" spans="2:3" x14ac:dyDescent="0.25">
      <c r="B269" s="1" t="s">
        <v>434</v>
      </c>
    </row>
    <row r="273" spans="2:3" x14ac:dyDescent="0.25">
      <c r="B273" s="1" t="s">
        <v>438</v>
      </c>
    </row>
    <row r="274" spans="2:3" x14ac:dyDescent="0.25">
      <c r="B274" s="1" t="s">
        <v>439</v>
      </c>
      <c r="C274" s="1" t="s">
        <v>441</v>
      </c>
    </row>
    <row r="275" spans="2:3" x14ac:dyDescent="0.25">
      <c r="B275" s="1" t="s">
        <v>440</v>
      </c>
      <c r="C275" s="1" t="s">
        <v>442</v>
      </c>
    </row>
    <row r="278" spans="2:3" x14ac:dyDescent="0.25">
      <c r="B278" s="1" t="s">
        <v>443</v>
      </c>
    </row>
    <row r="280" spans="2:3" x14ac:dyDescent="0.25">
      <c r="B280" s="1" t="s">
        <v>445</v>
      </c>
    </row>
    <row r="281" spans="2:3" x14ac:dyDescent="0.25">
      <c r="B281" s="1" t="s">
        <v>446</v>
      </c>
    </row>
    <row r="282" spans="2:3" x14ac:dyDescent="0.25">
      <c r="B282" s="1" t="s">
        <v>444</v>
      </c>
    </row>
    <row r="284" spans="2:3" x14ac:dyDescent="0.25">
      <c r="B284" s="1" t="s">
        <v>447</v>
      </c>
    </row>
    <row r="287" spans="2:3" x14ac:dyDescent="0.25">
      <c r="B287" s="1" t="s">
        <v>448</v>
      </c>
    </row>
    <row r="288" spans="2:3" x14ac:dyDescent="0.25">
      <c r="B288" s="1" t="s">
        <v>449</v>
      </c>
    </row>
    <row r="289" spans="2:2" x14ac:dyDescent="0.25">
      <c r="B289" s="1" t="s">
        <v>450</v>
      </c>
    </row>
    <row r="290" spans="2:2" x14ac:dyDescent="0.25">
      <c r="B290" s="1" t="s">
        <v>452</v>
      </c>
    </row>
    <row r="291" spans="2:2" x14ac:dyDescent="0.25">
      <c r="B291" s="1" t="s">
        <v>451</v>
      </c>
    </row>
    <row r="292" spans="2:2" x14ac:dyDescent="0.25">
      <c r="B292" s="1" t="s">
        <v>457</v>
      </c>
    </row>
    <row r="293" spans="2:2" x14ac:dyDescent="0.25">
      <c r="B293" s="1" t="s">
        <v>458</v>
      </c>
    </row>
    <row r="294" spans="2:2" x14ac:dyDescent="0.25">
      <c r="B294" s="1" t="s">
        <v>454</v>
      </c>
    </row>
    <row r="295" spans="2:2" x14ac:dyDescent="0.25">
      <c r="B295" s="1" t="s">
        <v>453</v>
      </c>
    </row>
    <row r="296" spans="2:2" x14ac:dyDescent="0.25">
      <c r="B296" s="1" t="s">
        <v>455</v>
      </c>
    </row>
    <row r="297" spans="2:2" x14ac:dyDescent="0.25">
      <c r="B297" s="1" t="s">
        <v>456</v>
      </c>
    </row>
    <row r="298" spans="2:2" x14ac:dyDescent="0.25">
      <c r="B298" s="1" t="s">
        <v>459</v>
      </c>
    </row>
    <row r="299" spans="2:2" x14ac:dyDescent="0.25">
      <c r="B299" s="1" t="s">
        <v>460</v>
      </c>
    </row>
    <row r="300" spans="2:2" x14ac:dyDescent="0.25">
      <c r="B300" s="1" t="s">
        <v>461</v>
      </c>
    </row>
    <row r="301" spans="2:2" x14ac:dyDescent="0.25">
      <c r="B301" s="1" t="s">
        <v>462</v>
      </c>
    </row>
    <row r="304" spans="2:2" x14ac:dyDescent="0.25">
      <c r="B304" s="1" t="s">
        <v>463</v>
      </c>
    </row>
    <row r="305" spans="2:2" ht="30" x14ac:dyDescent="0.25">
      <c r="B305" s="19" t="s">
        <v>464</v>
      </c>
    </row>
    <row r="306" spans="2:2" ht="30" x14ac:dyDescent="0.25">
      <c r="B306" s="19" t="s">
        <v>465</v>
      </c>
    </row>
    <row r="307" spans="2:2" ht="30" x14ac:dyDescent="0.25">
      <c r="B307" s="19" t="s">
        <v>466</v>
      </c>
    </row>
    <row r="308" spans="2:2" x14ac:dyDescent="0.25">
      <c r="B308" s="1" t="s">
        <v>467</v>
      </c>
    </row>
    <row r="309" spans="2:2" ht="30" x14ac:dyDescent="0.25">
      <c r="B309" s="19" t="s">
        <v>468</v>
      </c>
    </row>
    <row r="310" spans="2:2" x14ac:dyDescent="0.25">
      <c r="B310" s="1" t="s">
        <v>469</v>
      </c>
    </row>
    <row r="311" spans="2:2" ht="30" x14ac:dyDescent="0.25">
      <c r="B311" s="19" t="s">
        <v>470</v>
      </c>
    </row>
    <row r="312" spans="2:2" x14ac:dyDescent="0.25">
      <c r="B312" s="1" t="s">
        <v>471</v>
      </c>
    </row>
    <row r="313" spans="2:2" x14ac:dyDescent="0.25">
      <c r="B313" s="1" t="s">
        <v>472</v>
      </c>
    </row>
    <row r="314" spans="2:2" x14ac:dyDescent="0.25">
      <c r="B314" s="1" t="s">
        <v>473</v>
      </c>
    </row>
    <row r="315" spans="2:2" x14ac:dyDescent="0.25">
      <c r="B315" s="1" t="s">
        <v>474</v>
      </c>
    </row>
    <row r="316" spans="2:2" x14ac:dyDescent="0.25">
      <c r="B316" s="1" t="s">
        <v>475</v>
      </c>
    </row>
    <row r="317" spans="2:2" x14ac:dyDescent="0.25">
      <c r="B317" s="1" t="s">
        <v>476</v>
      </c>
    </row>
    <row r="318" spans="2:2" x14ac:dyDescent="0.25">
      <c r="B318" s="1" t="s">
        <v>479</v>
      </c>
    </row>
    <row r="322" spans="2:2" x14ac:dyDescent="0.25">
      <c r="B322" s="1" t="s">
        <v>480</v>
      </c>
    </row>
    <row r="324" spans="2:2" x14ac:dyDescent="0.25">
      <c r="B324" s="1" t="s">
        <v>477</v>
      </c>
    </row>
    <row r="325" spans="2:2" x14ac:dyDescent="0.25">
      <c r="B325" s="1" t="s">
        <v>478</v>
      </c>
    </row>
    <row r="328" spans="2:2" x14ac:dyDescent="0.25">
      <c r="B328" s="1" t="s">
        <v>730</v>
      </c>
    </row>
    <row r="329" spans="2:2" x14ac:dyDescent="0.25">
      <c r="B329" s="1" t="s">
        <v>481</v>
      </c>
    </row>
    <row r="331" spans="2:2" x14ac:dyDescent="0.25">
      <c r="B331" s="1" t="s">
        <v>482</v>
      </c>
    </row>
    <row r="332" spans="2:2" x14ac:dyDescent="0.25">
      <c r="B332" s="1" t="s">
        <v>485</v>
      </c>
    </row>
    <row r="333" spans="2:2" x14ac:dyDescent="0.25">
      <c r="B333" s="1" t="s">
        <v>486</v>
      </c>
    </row>
    <row r="334" spans="2:2" x14ac:dyDescent="0.25">
      <c r="B334" s="1" t="s">
        <v>484</v>
      </c>
    </row>
    <row r="335" spans="2:2" x14ac:dyDescent="0.25">
      <c r="B335" s="1" t="s">
        <v>483</v>
      </c>
    </row>
    <row r="342" spans="2:2" x14ac:dyDescent="0.25">
      <c r="B342" s="1" t="s">
        <v>502</v>
      </c>
    </row>
    <row r="343" spans="2:2" x14ac:dyDescent="0.25">
      <c r="B343" s="1" t="s">
        <v>491</v>
      </c>
    </row>
    <row r="344" spans="2:2" x14ac:dyDescent="0.25">
      <c r="B344" s="1" t="s">
        <v>492</v>
      </c>
    </row>
    <row r="345" spans="2:2" x14ac:dyDescent="0.25">
      <c r="B345" s="1" t="s">
        <v>493</v>
      </c>
    </row>
    <row r="346" spans="2:2" x14ac:dyDescent="0.25">
      <c r="B346" s="1" t="s">
        <v>494</v>
      </c>
    </row>
    <row r="347" spans="2:2" x14ac:dyDescent="0.25">
      <c r="B347" s="1" t="s">
        <v>495</v>
      </c>
    </row>
    <row r="348" spans="2:2" x14ac:dyDescent="0.25">
      <c r="B348" s="1" t="s">
        <v>496</v>
      </c>
    </row>
    <row r="349" spans="2:2" x14ac:dyDescent="0.25">
      <c r="B349" s="1" t="s">
        <v>497</v>
      </c>
    </row>
    <row r="350" spans="2:2" x14ac:dyDescent="0.25">
      <c r="B350" s="1" t="s">
        <v>498</v>
      </c>
    </row>
    <row r="352" spans="2:2" x14ac:dyDescent="0.25">
      <c r="B352" s="1" t="s">
        <v>499</v>
      </c>
    </row>
    <row r="353" spans="2:2" x14ac:dyDescent="0.25">
      <c r="B353" s="1" t="s">
        <v>501</v>
      </c>
    </row>
    <row r="354" spans="2:2" x14ac:dyDescent="0.25">
      <c r="B354" s="1" t="s">
        <v>500</v>
      </c>
    </row>
    <row r="357" spans="2:2" x14ac:dyDescent="0.25">
      <c r="B357" s="1" t="s">
        <v>505</v>
      </c>
    </row>
    <row r="358" spans="2:2" x14ac:dyDescent="0.25">
      <c r="B358" s="1" t="s">
        <v>506</v>
      </c>
    </row>
    <row r="359" spans="2:2" x14ac:dyDescent="0.25">
      <c r="B359" s="1" t="s">
        <v>422</v>
      </c>
    </row>
    <row r="363" spans="2:2" x14ac:dyDescent="0.25">
      <c r="B363" s="1" t="s">
        <v>504</v>
      </c>
    </row>
    <row r="364" spans="2:2" x14ac:dyDescent="0.25">
      <c r="B364" s="1" t="s">
        <v>507</v>
      </c>
    </row>
    <row r="365" spans="2:2" x14ac:dyDescent="0.25">
      <c r="B365" s="1" t="s">
        <v>508</v>
      </c>
    </row>
    <row r="366" spans="2:2" x14ac:dyDescent="0.25">
      <c r="B366" s="1" t="s">
        <v>509</v>
      </c>
    </row>
    <row r="369" spans="2:2" x14ac:dyDescent="0.25">
      <c r="B369" s="1" t="s">
        <v>735</v>
      </c>
    </row>
    <row r="370" spans="2:2" x14ac:dyDescent="0.25">
      <c r="B370" s="1" t="s">
        <v>736</v>
      </c>
    </row>
    <row r="375" spans="2:2" x14ac:dyDescent="0.25">
      <c r="B375" s="1" t="s">
        <v>778</v>
      </c>
    </row>
    <row r="376" spans="2:2" x14ac:dyDescent="0.25">
      <c r="B376" s="1" t="s">
        <v>779</v>
      </c>
    </row>
    <row r="377" spans="2:2" x14ac:dyDescent="0.25">
      <c r="B377" s="1" t="s">
        <v>780</v>
      </c>
    </row>
    <row r="380" spans="2:2" x14ac:dyDescent="0.25">
      <c r="B380" s="1" t="s">
        <v>588</v>
      </c>
    </row>
    <row r="384" spans="2:2" x14ac:dyDescent="0.25">
      <c r="B384" s="1" t="s">
        <v>729</v>
      </c>
    </row>
  </sheetData>
  <conditionalFormatting sqref="B141 B104 B83 G1:G35 G139:G143 G145:G149 G151:G1048576 B69 G37:G117 G119:G137">
    <cfRule type="iconSet" priority="3">
      <iconSet iconSet="5Rating">
        <cfvo type="percent" val="0"/>
        <cfvo type="percent" val="20"/>
        <cfvo type="percent" val="40"/>
        <cfvo type="percent" val="60"/>
        <cfvo type="percent" val="80"/>
      </iconSet>
    </cfRule>
  </conditionalFormatting>
  <conditionalFormatting sqref="B141 B104 B83 G139:G143 G145:G149 G151:G1048576 B69 G1:G117 G119:G137">
    <cfRule type="iconSet" priority="1">
      <iconSet iconSet="5Rating">
        <cfvo type="percent" val="0"/>
        <cfvo type="percent" val="20"/>
        <cfvo type="percent" val="40"/>
        <cfvo type="percent" val="60"/>
        <cfvo type="percent" val="80"/>
      </iconSet>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C45F-0ABA-48C8-AA26-DFE00DC9CC54}">
  <dimension ref="A1:AP136"/>
  <sheetViews>
    <sheetView topLeftCell="A46" workbookViewId="0">
      <pane xSplit="1" topLeftCell="B1" activePane="topRight" state="frozen"/>
      <selection activeCell="A49" sqref="A49"/>
      <selection pane="topRight" activeCell="A59" sqref="A59"/>
    </sheetView>
  </sheetViews>
  <sheetFormatPr baseColWidth="10" defaultColWidth="7.5703125" defaultRowHeight="15" x14ac:dyDescent="0.25"/>
  <cols>
    <col min="1" max="1" width="28.42578125" style="53" customWidth="1"/>
    <col min="2" max="2" width="5" style="53" customWidth="1"/>
    <col min="3" max="3" width="28.7109375" style="53" customWidth="1"/>
    <col min="4" max="4" width="18.5703125" style="1" customWidth="1"/>
    <col min="5" max="5" width="5" style="1" customWidth="1"/>
    <col min="6" max="6" width="35.7109375" style="18" customWidth="1"/>
    <col min="7" max="8" width="4.28515625" style="18" customWidth="1"/>
    <col min="9" max="9" width="8.42578125" style="18" customWidth="1"/>
    <col min="10" max="10" width="4.28515625" style="18" customWidth="1"/>
    <col min="11" max="11" width="7" style="18" customWidth="1"/>
    <col min="12" max="12" width="11" style="18" customWidth="1"/>
    <col min="13" max="13" width="5.7109375" style="18" customWidth="1"/>
    <col min="14" max="14" width="17" style="18" customWidth="1"/>
    <col min="15" max="23" width="8.140625" style="60" customWidth="1"/>
    <col min="24" max="24" width="8.140625" style="66" customWidth="1"/>
    <col min="25" max="25" width="8.140625" style="76" customWidth="1"/>
    <col min="26" max="26" width="8.140625" style="71" customWidth="1"/>
    <col min="27" max="30" width="8.140625" style="60" customWidth="1"/>
    <col min="31" max="32" width="7.5703125" style="1"/>
    <col min="33" max="33" width="45.42578125" style="53" customWidth="1"/>
    <col min="34" max="34" width="7.42578125" style="79" customWidth="1"/>
    <col min="35" max="35" width="3.42578125" style="1" customWidth="1"/>
    <col min="36" max="36" width="10" style="1" bestFit="1" customWidth="1"/>
    <col min="37" max="16384" width="7.5703125" style="1"/>
  </cols>
  <sheetData>
    <row r="1" spans="1:42" s="11" customFormat="1" ht="34.5" customHeight="1" x14ac:dyDescent="0.45">
      <c r="A1" s="11" t="s">
        <v>143</v>
      </c>
      <c r="B1" s="53"/>
      <c r="C1" s="11" t="s">
        <v>894</v>
      </c>
      <c r="D1" s="11" t="s">
        <v>1050</v>
      </c>
      <c r="F1" s="45" t="s">
        <v>975</v>
      </c>
      <c r="G1" s="52" t="s">
        <v>976</v>
      </c>
      <c r="H1" s="45"/>
      <c r="I1" s="52" t="s">
        <v>1116</v>
      </c>
      <c r="J1" s="52" t="s">
        <v>1114</v>
      </c>
      <c r="K1" s="52" t="s">
        <v>958</v>
      </c>
      <c r="L1" s="52" t="s">
        <v>1105</v>
      </c>
      <c r="M1" s="52" t="s">
        <v>1113</v>
      </c>
      <c r="N1" s="45"/>
      <c r="O1" s="52" t="s">
        <v>895</v>
      </c>
      <c r="P1" s="52" t="s">
        <v>896</v>
      </c>
      <c r="Q1" s="52" t="s">
        <v>897</v>
      </c>
      <c r="R1" s="52" t="s">
        <v>898</v>
      </c>
      <c r="S1" s="52" t="s">
        <v>899</v>
      </c>
      <c r="T1" s="52" t="s">
        <v>900</v>
      </c>
      <c r="U1" s="52" t="s">
        <v>901</v>
      </c>
      <c r="V1" s="52" t="s">
        <v>1154</v>
      </c>
      <c r="W1" s="52" t="s">
        <v>1155</v>
      </c>
      <c r="X1" s="63" t="s">
        <v>1156</v>
      </c>
      <c r="Y1" s="73" t="s">
        <v>1157</v>
      </c>
      <c r="Z1" s="68" t="s">
        <v>1158</v>
      </c>
      <c r="AA1" s="52" t="s">
        <v>1159</v>
      </c>
      <c r="AB1" s="52" t="s">
        <v>1160</v>
      </c>
      <c r="AC1" s="52" t="s">
        <v>1161</v>
      </c>
      <c r="AD1" s="52" t="s">
        <v>1162</v>
      </c>
      <c r="AE1" s="32"/>
      <c r="AF1" s="56"/>
      <c r="AG1" s="11" t="s">
        <v>1025</v>
      </c>
      <c r="AH1" s="87"/>
      <c r="AI1" s="54"/>
      <c r="AJ1" s="34"/>
      <c r="AK1" s="32"/>
      <c r="AL1" s="33"/>
      <c r="AM1" s="33"/>
      <c r="AN1" s="34"/>
      <c r="AO1" s="30"/>
    </row>
    <row r="2" spans="1:42" ht="23.25" x14ac:dyDescent="0.35">
      <c r="A2" s="1" t="s">
        <v>888</v>
      </c>
      <c r="M2" s="1" t="s">
        <v>888</v>
      </c>
      <c r="N2" s="164" t="s">
        <v>1115</v>
      </c>
      <c r="O2" s="59">
        <v>0</v>
      </c>
      <c r="P2" s="59">
        <v>1</v>
      </c>
      <c r="Q2" s="59">
        <v>2</v>
      </c>
      <c r="R2" s="59">
        <v>3</v>
      </c>
      <c r="S2" s="59">
        <v>4</v>
      </c>
      <c r="T2" s="59">
        <v>5</v>
      </c>
      <c r="U2" s="59">
        <v>6</v>
      </c>
      <c r="V2" s="59">
        <v>7</v>
      </c>
      <c r="W2" s="59">
        <v>8</v>
      </c>
      <c r="X2" s="64">
        <v>9</v>
      </c>
      <c r="Y2" s="74">
        <v>10</v>
      </c>
      <c r="Z2" s="69">
        <v>11</v>
      </c>
      <c r="AA2" s="59">
        <v>12</v>
      </c>
      <c r="AB2" s="59">
        <v>13</v>
      </c>
      <c r="AC2" s="59">
        <v>14</v>
      </c>
      <c r="AD2" s="59">
        <v>15</v>
      </c>
    </row>
    <row r="3" spans="1:42" x14ac:dyDescent="0.25">
      <c r="A3" s="1" t="s">
        <v>189</v>
      </c>
      <c r="M3" s="1" t="s">
        <v>189</v>
      </c>
      <c r="N3" s="165"/>
      <c r="O3" s="51" t="s">
        <v>1167</v>
      </c>
      <c r="P3" s="51" t="s">
        <v>1168</v>
      </c>
      <c r="Q3" s="51" t="s">
        <v>1169</v>
      </c>
      <c r="R3" s="51" t="s">
        <v>1170</v>
      </c>
      <c r="S3" s="51" t="s">
        <v>1171</v>
      </c>
      <c r="T3" s="51" t="s">
        <v>1172</v>
      </c>
      <c r="U3" s="51" t="s">
        <v>1173</v>
      </c>
      <c r="V3" s="51" t="s">
        <v>1174</v>
      </c>
      <c r="W3" s="51" t="s">
        <v>1175</v>
      </c>
      <c r="X3" s="65" t="s">
        <v>1163</v>
      </c>
      <c r="Y3" s="75" t="s">
        <v>387</v>
      </c>
      <c r="Z3" s="70" t="s">
        <v>388</v>
      </c>
      <c r="AA3" s="18" t="s">
        <v>389</v>
      </c>
      <c r="AB3" s="18" t="s">
        <v>390</v>
      </c>
      <c r="AC3" s="18" t="s">
        <v>1164</v>
      </c>
      <c r="AD3" s="18" t="s">
        <v>1165</v>
      </c>
    </row>
    <row r="4" spans="1:42" x14ac:dyDescent="0.25">
      <c r="AJ4" s="1" t="s">
        <v>1117</v>
      </c>
    </row>
    <row r="5" spans="1:42" x14ac:dyDescent="0.25">
      <c r="A5" s="12" t="s">
        <v>1064</v>
      </c>
      <c r="C5" s="12"/>
      <c r="AG5" s="1"/>
      <c r="AH5" s="88"/>
      <c r="AJ5" s="1" t="s">
        <v>1176</v>
      </c>
      <c r="AK5" s="1" t="s">
        <v>1177</v>
      </c>
      <c r="AL5" s="1" t="s">
        <v>1178</v>
      </c>
      <c r="AM5" s="1" t="s">
        <v>1179</v>
      </c>
      <c r="AN5" s="1" t="s">
        <v>1180</v>
      </c>
      <c r="AO5" s="1" t="s">
        <v>1181</v>
      </c>
      <c r="AP5" s="1" t="s">
        <v>1182</v>
      </c>
    </row>
    <row r="6" spans="1:42" x14ac:dyDescent="0.25">
      <c r="A6" s="1"/>
      <c r="C6" s="1"/>
      <c r="AG6" s="1"/>
      <c r="AH6" s="81"/>
    </row>
    <row r="7" spans="1:42" x14ac:dyDescent="0.25">
      <c r="A7" s="1" t="s">
        <v>959</v>
      </c>
      <c r="C7" s="1" t="s">
        <v>1029</v>
      </c>
      <c r="D7" s="1" t="s">
        <v>188</v>
      </c>
      <c r="F7" s="18" t="s">
        <v>384</v>
      </c>
      <c r="I7" s="18">
        <v>100</v>
      </c>
      <c r="J7" s="18" t="s">
        <v>1118</v>
      </c>
      <c r="K7" s="18" t="s">
        <v>615</v>
      </c>
      <c r="O7" s="60">
        <v>0</v>
      </c>
      <c r="P7" s="60">
        <v>1</v>
      </c>
      <c r="Q7" s="60">
        <v>1</v>
      </c>
      <c r="R7" s="60">
        <v>1</v>
      </c>
      <c r="S7" s="60">
        <v>1</v>
      </c>
      <c r="T7" s="60">
        <v>1</v>
      </c>
      <c r="U7" s="60">
        <v>1</v>
      </c>
      <c r="V7" s="60">
        <v>1</v>
      </c>
      <c r="W7" s="60">
        <v>1</v>
      </c>
      <c r="X7" s="66">
        <v>1</v>
      </c>
      <c r="Y7" s="76">
        <v>1</v>
      </c>
      <c r="Z7" s="71">
        <v>1</v>
      </c>
      <c r="AA7" s="60">
        <v>1</v>
      </c>
      <c r="AB7" s="60">
        <v>1</v>
      </c>
      <c r="AC7" s="60">
        <v>1</v>
      </c>
      <c r="AD7" s="60">
        <v>1</v>
      </c>
      <c r="AG7" s="1" t="s">
        <v>1261</v>
      </c>
      <c r="AH7" s="81"/>
      <c r="AJ7" s="1">
        <f>(X7*1000000)/1000000</f>
        <v>1</v>
      </c>
      <c r="AK7" s="1">
        <f t="shared" ref="AK7:AP7" si="0">(Y7*1000000)/1000000</f>
        <v>1</v>
      </c>
      <c r="AL7" s="1">
        <f t="shared" si="0"/>
        <v>1</v>
      </c>
      <c r="AM7" s="1">
        <f t="shared" si="0"/>
        <v>1</v>
      </c>
      <c r="AN7" s="1">
        <f t="shared" si="0"/>
        <v>1</v>
      </c>
      <c r="AO7" s="1">
        <f t="shared" si="0"/>
        <v>1</v>
      </c>
      <c r="AP7" s="1">
        <f t="shared" si="0"/>
        <v>1</v>
      </c>
    </row>
    <row r="8" spans="1:42" x14ac:dyDescent="0.25">
      <c r="A8" s="1" t="s">
        <v>960</v>
      </c>
      <c r="C8" s="1" t="s">
        <v>1029</v>
      </c>
      <c r="D8" s="1" t="s">
        <v>188</v>
      </c>
      <c r="F8" s="18" t="s">
        <v>385</v>
      </c>
      <c r="I8" s="18">
        <v>100</v>
      </c>
      <c r="J8" s="18" t="s">
        <v>1118</v>
      </c>
      <c r="K8" s="18" t="s">
        <v>615</v>
      </c>
      <c r="M8" s="18">
        <v>15</v>
      </c>
      <c r="O8" s="60">
        <v>0</v>
      </c>
      <c r="P8" s="60">
        <v>1</v>
      </c>
      <c r="Q8" s="60">
        <v>1</v>
      </c>
      <c r="R8" s="60">
        <v>1</v>
      </c>
      <c r="S8" s="60">
        <v>1</v>
      </c>
      <c r="T8" s="60">
        <v>1</v>
      </c>
      <c r="U8" s="60">
        <v>1</v>
      </c>
      <c r="V8" s="60">
        <v>1</v>
      </c>
      <c r="W8" s="60">
        <v>1</v>
      </c>
      <c r="X8" s="66">
        <v>1</v>
      </c>
      <c r="Y8" s="76">
        <v>1</v>
      </c>
      <c r="Z8" s="71">
        <v>1</v>
      </c>
      <c r="AA8" s="60">
        <v>1</v>
      </c>
      <c r="AB8" s="60">
        <v>1</v>
      </c>
      <c r="AC8" s="60">
        <v>1</v>
      </c>
      <c r="AD8" s="60">
        <v>1</v>
      </c>
      <c r="AG8" s="1" t="s">
        <v>1262</v>
      </c>
      <c r="AH8" s="81"/>
      <c r="AJ8" s="1">
        <f>(X8*1000000)/1000000</f>
        <v>1</v>
      </c>
      <c r="AK8" s="1">
        <f t="shared" ref="AK8:AK10" si="1">(Y8*1000000)/1000000</f>
        <v>1</v>
      </c>
      <c r="AL8" s="1">
        <f t="shared" ref="AL8:AL10" si="2">(Z8*1000000)/1000000</f>
        <v>1</v>
      </c>
      <c r="AM8" s="1">
        <f t="shared" ref="AM8:AM10" si="3">(AA8*1000000)/1000000</f>
        <v>1</v>
      </c>
      <c r="AN8" s="1">
        <f t="shared" ref="AN8:AN10" si="4">(AB8*1000000)/1000000</f>
        <v>1</v>
      </c>
      <c r="AO8" s="1">
        <f t="shared" ref="AO8:AO10" si="5">(AC8*1000000)/1000000</f>
        <v>1</v>
      </c>
      <c r="AP8" s="1">
        <f t="shared" ref="AP8:AP10" si="6">(AD8*1000000)/1000000</f>
        <v>1</v>
      </c>
    </row>
    <row r="9" spans="1:42" x14ac:dyDescent="0.25">
      <c r="A9" s="1" t="s">
        <v>961</v>
      </c>
      <c r="C9" s="1" t="s">
        <v>1029</v>
      </c>
      <c r="D9" s="1" t="s">
        <v>188</v>
      </c>
      <c r="F9" s="18" t="s">
        <v>410</v>
      </c>
      <c r="I9" s="18">
        <v>100</v>
      </c>
      <c r="J9" s="18" t="s">
        <v>1118</v>
      </c>
      <c r="K9" s="18" t="s">
        <v>615</v>
      </c>
      <c r="O9" s="60">
        <v>0</v>
      </c>
      <c r="P9" s="60">
        <v>1</v>
      </c>
      <c r="Q9" s="60">
        <v>1</v>
      </c>
      <c r="R9" s="60">
        <v>1</v>
      </c>
      <c r="S9" s="60">
        <v>1</v>
      </c>
      <c r="T9" s="60">
        <v>1</v>
      </c>
      <c r="U9" s="60">
        <v>1</v>
      </c>
      <c r="V9" s="60">
        <v>1</v>
      </c>
      <c r="W9" s="60">
        <v>1</v>
      </c>
      <c r="X9" s="66">
        <v>1</v>
      </c>
      <c r="Y9" s="76">
        <v>1</v>
      </c>
      <c r="Z9" s="71">
        <v>1</v>
      </c>
      <c r="AA9" s="60">
        <v>1</v>
      </c>
      <c r="AB9" s="60">
        <v>1</v>
      </c>
      <c r="AC9" s="60">
        <v>1</v>
      </c>
      <c r="AD9" s="60">
        <v>1</v>
      </c>
      <c r="AG9" s="1" t="s">
        <v>1254</v>
      </c>
      <c r="AH9" s="81"/>
      <c r="AJ9" s="1">
        <f t="shared" ref="AJ9:AJ10" si="7">(X9*1000000)/1000000</f>
        <v>1</v>
      </c>
      <c r="AK9" s="1">
        <f t="shared" si="1"/>
        <v>1</v>
      </c>
      <c r="AL9" s="1">
        <f t="shared" si="2"/>
        <v>1</v>
      </c>
      <c r="AM9" s="1">
        <f t="shared" si="3"/>
        <v>1</v>
      </c>
      <c r="AN9" s="1">
        <f t="shared" si="4"/>
        <v>1</v>
      </c>
      <c r="AO9" s="1">
        <f t="shared" si="5"/>
        <v>1</v>
      </c>
      <c r="AP9" s="1">
        <f t="shared" si="6"/>
        <v>1</v>
      </c>
    </row>
    <row r="10" spans="1:42" x14ac:dyDescent="0.25">
      <c r="A10" s="1" t="s">
        <v>962</v>
      </c>
      <c r="C10" s="1" t="s">
        <v>1029</v>
      </c>
      <c r="D10" s="1" t="s">
        <v>188</v>
      </c>
      <c r="F10" s="18" t="s">
        <v>386</v>
      </c>
      <c r="I10" s="18">
        <v>100</v>
      </c>
      <c r="J10" s="18" t="s">
        <v>1118</v>
      </c>
      <c r="K10" s="18" t="s">
        <v>615</v>
      </c>
      <c r="O10" s="60">
        <v>0</v>
      </c>
      <c r="P10" s="60">
        <v>1</v>
      </c>
      <c r="Q10" s="60">
        <v>1</v>
      </c>
      <c r="R10" s="60">
        <v>1</v>
      </c>
      <c r="S10" s="60">
        <v>1</v>
      </c>
      <c r="T10" s="60">
        <v>1</v>
      </c>
      <c r="U10" s="60">
        <v>1</v>
      </c>
      <c r="V10" s="60">
        <v>1</v>
      </c>
      <c r="W10" s="60">
        <v>1</v>
      </c>
      <c r="X10" s="66">
        <v>1</v>
      </c>
      <c r="Y10" s="76">
        <v>1</v>
      </c>
      <c r="Z10" s="71">
        <v>1</v>
      </c>
      <c r="AA10" s="60">
        <v>1</v>
      </c>
      <c r="AB10" s="60">
        <v>1</v>
      </c>
      <c r="AC10" s="60">
        <v>1</v>
      </c>
      <c r="AD10" s="60">
        <v>1</v>
      </c>
      <c r="AG10" s="1" t="s">
        <v>1273</v>
      </c>
      <c r="AH10" s="81"/>
      <c r="AJ10" s="1">
        <f t="shared" si="7"/>
        <v>1</v>
      </c>
      <c r="AK10" s="1">
        <f t="shared" si="1"/>
        <v>1</v>
      </c>
      <c r="AL10" s="1">
        <f t="shared" si="2"/>
        <v>1</v>
      </c>
      <c r="AM10" s="1">
        <f t="shared" si="3"/>
        <v>1</v>
      </c>
      <c r="AN10" s="1">
        <f t="shared" si="4"/>
        <v>1</v>
      </c>
      <c r="AO10" s="1">
        <f t="shared" si="5"/>
        <v>1</v>
      </c>
      <c r="AP10" s="1">
        <f t="shared" si="6"/>
        <v>1</v>
      </c>
    </row>
    <row r="11" spans="1:42" x14ac:dyDescent="0.25">
      <c r="A11" s="1"/>
      <c r="C11" s="1"/>
      <c r="AG11" s="1"/>
      <c r="AH11" s="81"/>
    </row>
    <row r="12" spans="1:42" x14ac:dyDescent="0.25">
      <c r="A12" s="1"/>
      <c r="C12" s="1"/>
      <c r="AG12" s="1"/>
      <c r="AH12" s="81"/>
    </row>
    <row r="13" spans="1:42" x14ac:dyDescent="0.25">
      <c r="A13" s="1" t="s">
        <v>963</v>
      </c>
      <c r="C13" s="1" t="s">
        <v>1029</v>
      </c>
      <c r="D13" s="1" t="s">
        <v>1051</v>
      </c>
      <c r="F13" s="18" t="s">
        <v>395</v>
      </c>
      <c r="I13" s="18">
        <v>100</v>
      </c>
      <c r="J13" s="18" t="s">
        <v>1118</v>
      </c>
      <c r="K13" s="18" t="s">
        <v>615</v>
      </c>
      <c r="M13" s="18">
        <v>30</v>
      </c>
      <c r="O13" s="60">
        <v>0</v>
      </c>
      <c r="P13" s="60">
        <v>0.2</v>
      </c>
      <c r="Q13" s="60">
        <v>0.2</v>
      </c>
      <c r="R13" s="60">
        <v>0.2</v>
      </c>
      <c r="S13" s="60">
        <v>0.5</v>
      </c>
      <c r="T13" s="60">
        <v>1</v>
      </c>
      <c r="U13" s="60">
        <v>1</v>
      </c>
      <c r="V13" s="60">
        <v>1</v>
      </c>
      <c r="W13" s="60">
        <v>1.5</v>
      </c>
      <c r="X13" s="66">
        <v>2</v>
      </c>
      <c r="Y13" s="76">
        <v>2</v>
      </c>
      <c r="Z13" s="71">
        <v>2</v>
      </c>
      <c r="AA13" s="60">
        <v>2</v>
      </c>
      <c r="AB13" s="60">
        <v>2</v>
      </c>
      <c r="AC13" s="60">
        <v>2</v>
      </c>
      <c r="AD13" s="60">
        <v>2</v>
      </c>
      <c r="AG13" s="1" t="s">
        <v>1255</v>
      </c>
      <c r="AH13" s="81"/>
      <c r="AJ13" s="1">
        <f>(X13*1000000)/1000000</f>
        <v>2</v>
      </c>
      <c r="AK13" s="1">
        <f t="shared" ref="AK13:AK15" si="8">(Y13*1000000)/1000000</f>
        <v>2</v>
      </c>
      <c r="AL13" s="1">
        <f t="shared" ref="AL13:AL15" si="9">(Z13*1000000)/1000000</f>
        <v>2</v>
      </c>
      <c r="AM13" s="1">
        <f t="shared" ref="AM13:AM15" si="10">(AA13*1000000)/1000000</f>
        <v>2</v>
      </c>
      <c r="AN13" s="1">
        <f t="shared" ref="AN13:AN15" si="11">(AB13*1000000)/1000000</f>
        <v>2</v>
      </c>
      <c r="AO13" s="1">
        <f t="shared" ref="AO13:AO15" si="12">(AC13*1000000)/1000000</f>
        <v>2</v>
      </c>
      <c r="AP13" s="1">
        <f t="shared" ref="AP13:AP15" si="13">(AD13*1000000)/1000000</f>
        <v>2</v>
      </c>
    </row>
    <row r="14" spans="1:42" x14ac:dyDescent="0.25">
      <c r="A14" s="1" t="s">
        <v>964</v>
      </c>
      <c r="C14" s="1" t="s">
        <v>1029</v>
      </c>
      <c r="D14" s="1" t="s">
        <v>1051</v>
      </c>
      <c r="F14" s="18" t="s">
        <v>396</v>
      </c>
      <c r="J14" s="18" t="s">
        <v>1118</v>
      </c>
      <c r="K14" s="18" t="s">
        <v>615</v>
      </c>
      <c r="O14" s="60">
        <v>0</v>
      </c>
      <c r="P14" s="60">
        <v>0.25</v>
      </c>
      <c r="Q14" s="60">
        <v>0.25</v>
      </c>
      <c r="R14" s="60">
        <v>0.25</v>
      </c>
      <c r="S14" s="60">
        <v>0.25</v>
      </c>
      <c r="T14" s="60">
        <v>0.25</v>
      </c>
      <c r="U14" s="60">
        <v>0.25</v>
      </c>
      <c r="V14" s="60">
        <v>0.25</v>
      </c>
      <c r="W14" s="60">
        <v>0.25</v>
      </c>
      <c r="X14" s="66">
        <v>0.25</v>
      </c>
      <c r="Y14" s="76">
        <v>0.25</v>
      </c>
      <c r="Z14" s="71">
        <v>0.25</v>
      </c>
      <c r="AA14" s="60">
        <v>0.25</v>
      </c>
      <c r="AB14" s="60">
        <v>0.25</v>
      </c>
      <c r="AC14" s="60">
        <v>0.25</v>
      </c>
      <c r="AD14" s="60">
        <v>0.25</v>
      </c>
      <c r="AG14" s="1" t="s">
        <v>1274</v>
      </c>
      <c r="AH14" s="81"/>
      <c r="AJ14" s="1">
        <f t="shared" ref="AJ14:AJ15" si="14">(X14*1000000)/1000000</f>
        <v>0.25</v>
      </c>
      <c r="AK14" s="1">
        <f t="shared" si="8"/>
        <v>0.25</v>
      </c>
      <c r="AL14" s="1">
        <f t="shared" si="9"/>
        <v>0.25</v>
      </c>
      <c r="AM14" s="1">
        <f t="shared" si="10"/>
        <v>0.25</v>
      </c>
      <c r="AN14" s="1">
        <f t="shared" si="11"/>
        <v>0.25</v>
      </c>
      <c r="AO14" s="1">
        <f t="shared" si="12"/>
        <v>0.25</v>
      </c>
      <c r="AP14" s="1">
        <f t="shared" si="13"/>
        <v>0.25</v>
      </c>
    </row>
    <row r="15" spans="1:42" x14ac:dyDescent="0.25">
      <c r="A15" s="1" t="s">
        <v>1024</v>
      </c>
      <c r="C15" s="1" t="s">
        <v>1029</v>
      </c>
      <c r="D15" s="1" t="s">
        <v>1051</v>
      </c>
      <c r="F15" s="18" t="s">
        <v>391</v>
      </c>
      <c r="I15" s="18">
        <v>100</v>
      </c>
      <c r="J15" s="18" t="s">
        <v>1118</v>
      </c>
      <c r="M15" s="18">
        <v>30</v>
      </c>
      <c r="O15" s="60">
        <v>0</v>
      </c>
      <c r="P15" s="60">
        <v>2</v>
      </c>
      <c r="Q15" s="60">
        <v>2</v>
      </c>
      <c r="R15" s="60">
        <v>2</v>
      </c>
      <c r="S15" s="60">
        <v>2</v>
      </c>
      <c r="T15" s="60">
        <v>2</v>
      </c>
      <c r="U15" s="60">
        <v>2</v>
      </c>
      <c r="V15" s="60">
        <v>2</v>
      </c>
      <c r="W15" s="60">
        <v>2</v>
      </c>
      <c r="X15" s="66">
        <v>2</v>
      </c>
      <c r="Y15" s="76">
        <v>1</v>
      </c>
      <c r="Z15" s="71">
        <v>0.5</v>
      </c>
      <c r="AA15" s="60">
        <v>0.02</v>
      </c>
      <c r="AB15" s="60">
        <v>0.01</v>
      </c>
      <c r="AC15" s="60">
        <v>0.01</v>
      </c>
      <c r="AD15" s="60">
        <v>0.01</v>
      </c>
      <c r="AG15" s="1" t="s">
        <v>1276</v>
      </c>
      <c r="AH15" s="81"/>
      <c r="AJ15" s="1">
        <f t="shared" si="14"/>
        <v>2</v>
      </c>
      <c r="AK15" s="1">
        <f t="shared" si="8"/>
        <v>1</v>
      </c>
      <c r="AL15" s="1">
        <f t="shared" si="9"/>
        <v>0.5</v>
      </c>
      <c r="AM15" s="1">
        <f t="shared" si="10"/>
        <v>0.02</v>
      </c>
      <c r="AN15" s="1">
        <f t="shared" si="11"/>
        <v>0.01</v>
      </c>
      <c r="AO15" s="1">
        <f t="shared" si="12"/>
        <v>0.01</v>
      </c>
      <c r="AP15" s="1">
        <f t="shared" si="13"/>
        <v>0.01</v>
      </c>
    </row>
    <row r="17" spans="1:42" x14ac:dyDescent="0.25">
      <c r="A17" s="1"/>
      <c r="C17" s="1"/>
      <c r="AG17" s="1"/>
      <c r="AH17" s="81"/>
    </row>
    <row r="18" spans="1:42" x14ac:dyDescent="0.25">
      <c r="A18" s="1" t="s">
        <v>1134</v>
      </c>
      <c r="C18" s="1" t="s">
        <v>1029</v>
      </c>
      <c r="D18" s="1" t="s">
        <v>1052</v>
      </c>
      <c r="F18" s="17" t="s">
        <v>1135</v>
      </c>
      <c r="G18" s="17"/>
      <c r="H18" s="17"/>
      <c r="I18" s="17">
        <v>100</v>
      </c>
      <c r="J18" s="18" t="s">
        <v>1118</v>
      </c>
      <c r="K18" s="18" t="s">
        <v>615</v>
      </c>
      <c r="M18" s="18">
        <v>12</v>
      </c>
      <c r="N18" s="17"/>
      <c r="O18" s="61">
        <v>0</v>
      </c>
      <c r="P18" s="60">
        <v>0.01</v>
      </c>
      <c r="Q18" s="61">
        <v>0.05</v>
      </c>
      <c r="R18" s="61">
        <v>0.1</v>
      </c>
      <c r="S18" s="61">
        <v>0.2</v>
      </c>
      <c r="T18" s="61">
        <v>0.5</v>
      </c>
      <c r="U18" s="61">
        <v>0.8</v>
      </c>
      <c r="V18" s="61">
        <v>1</v>
      </c>
      <c r="W18" s="61">
        <v>1.5</v>
      </c>
      <c r="X18" s="66">
        <v>1.5</v>
      </c>
      <c r="Y18" s="76">
        <v>1.2</v>
      </c>
      <c r="Z18" s="71">
        <v>1</v>
      </c>
      <c r="AA18" s="60">
        <v>0.8</v>
      </c>
      <c r="AB18" s="60">
        <v>0.5</v>
      </c>
      <c r="AC18" s="60">
        <v>0.3</v>
      </c>
      <c r="AD18" s="60">
        <v>0.2</v>
      </c>
      <c r="AG18" s="1" t="s">
        <v>1279</v>
      </c>
      <c r="AH18" s="81"/>
      <c r="AJ18" s="1">
        <f>(X18*1000000)/1000000</f>
        <v>1.5</v>
      </c>
      <c r="AK18" s="1">
        <f t="shared" ref="AK18" si="15">(Y18*1000000)/1000000</f>
        <v>1.2</v>
      </c>
      <c r="AL18" s="1">
        <f t="shared" ref="AL18" si="16">(Z18*1000000)/1000000</f>
        <v>1</v>
      </c>
      <c r="AM18" s="1">
        <f t="shared" ref="AM18" si="17">(AA18*1000000)/1000000</f>
        <v>0.8</v>
      </c>
      <c r="AN18" s="1">
        <f t="shared" ref="AN18" si="18">(AB18*1000000)/1000000</f>
        <v>0.5</v>
      </c>
      <c r="AO18" s="1">
        <f t="shared" ref="AO18" si="19">(AC18*1000000)/1000000</f>
        <v>0.3</v>
      </c>
      <c r="AP18" s="1">
        <f t="shared" ref="AP18" si="20">(AD18*1000000)/1000000</f>
        <v>0.2</v>
      </c>
    </row>
    <row r="19" spans="1:42" x14ac:dyDescent="0.25">
      <c r="A19" s="1" t="s">
        <v>1129</v>
      </c>
      <c r="C19" s="1" t="s">
        <v>1029</v>
      </c>
      <c r="D19" s="1" t="s">
        <v>1052</v>
      </c>
      <c r="F19" s="17" t="s">
        <v>1124</v>
      </c>
      <c r="G19" s="17"/>
      <c r="H19" s="17"/>
      <c r="I19" s="17">
        <v>100</v>
      </c>
      <c r="J19" s="18" t="s">
        <v>1118</v>
      </c>
      <c r="K19" s="18" t="s">
        <v>615</v>
      </c>
      <c r="M19" s="18">
        <v>10</v>
      </c>
      <c r="N19" s="17"/>
      <c r="O19" s="61">
        <v>0</v>
      </c>
      <c r="P19" s="61">
        <v>0</v>
      </c>
      <c r="Q19" s="61">
        <v>0</v>
      </c>
      <c r="R19" s="61">
        <v>0</v>
      </c>
      <c r="S19" s="61">
        <v>0</v>
      </c>
      <c r="T19" s="61">
        <v>0</v>
      </c>
      <c r="U19" s="61">
        <v>0</v>
      </c>
      <c r="V19" s="61">
        <v>0.1</v>
      </c>
      <c r="W19" s="61">
        <v>0.2</v>
      </c>
      <c r="X19" s="66">
        <v>0.5</v>
      </c>
      <c r="Y19" s="76">
        <v>1</v>
      </c>
      <c r="Z19" s="71">
        <v>1.5</v>
      </c>
      <c r="AA19" s="60">
        <v>1.8</v>
      </c>
      <c r="AB19" s="60">
        <v>2</v>
      </c>
      <c r="AC19" s="60">
        <v>2.2000000000000002</v>
      </c>
      <c r="AD19" s="60">
        <v>2.2999999999999998</v>
      </c>
      <c r="AG19" s="1" t="s">
        <v>1274</v>
      </c>
      <c r="AH19" s="81"/>
      <c r="AJ19" s="1">
        <f>(X19*1000000)/1000000</f>
        <v>0.5</v>
      </c>
      <c r="AK19" s="1">
        <f t="shared" ref="AK19:AK21" si="21">(Y19*1000000)/1000000</f>
        <v>1</v>
      </c>
      <c r="AL19" s="1">
        <f t="shared" ref="AL19:AL21" si="22">(Z19*1000000)/1000000</f>
        <v>1.5</v>
      </c>
      <c r="AM19" s="1">
        <f t="shared" ref="AM19:AM21" si="23">(AA19*1000000)/1000000</f>
        <v>1.8</v>
      </c>
      <c r="AN19" s="1">
        <f t="shared" ref="AN19:AN21" si="24">(AB19*1000000)/1000000</f>
        <v>2</v>
      </c>
      <c r="AO19" s="1">
        <f t="shared" ref="AO19:AO21" si="25">(AC19*1000000)/1000000</f>
        <v>2.2000000000000002</v>
      </c>
      <c r="AP19" s="1">
        <f t="shared" ref="AP19:AP21" si="26">(AD19*1000000)/1000000</f>
        <v>2.2999999999999998</v>
      </c>
    </row>
    <row r="20" spans="1:42" x14ac:dyDescent="0.25">
      <c r="A20" s="1" t="s">
        <v>1130</v>
      </c>
      <c r="C20" s="1" t="s">
        <v>1029</v>
      </c>
      <c r="D20" s="1" t="s">
        <v>1052</v>
      </c>
      <c r="F20" s="17" t="s">
        <v>1125</v>
      </c>
      <c r="I20" s="17">
        <v>100</v>
      </c>
      <c r="J20" s="18" t="s">
        <v>1118</v>
      </c>
      <c r="O20" s="60">
        <v>0</v>
      </c>
      <c r="P20" s="60">
        <v>0</v>
      </c>
      <c r="Q20" s="60">
        <v>0</v>
      </c>
      <c r="R20" s="60">
        <v>0</v>
      </c>
      <c r="S20" s="60">
        <v>0</v>
      </c>
      <c r="T20" s="60">
        <v>0</v>
      </c>
      <c r="U20" s="60">
        <v>0</v>
      </c>
      <c r="V20" s="60">
        <v>0</v>
      </c>
      <c r="W20" s="60">
        <v>0</v>
      </c>
      <c r="X20" s="66">
        <v>0</v>
      </c>
      <c r="Y20" s="76">
        <v>0</v>
      </c>
      <c r="Z20" s="71">
        <v>0.5</v>
      </c>
      <c r="AA20" s="60">
        <v>1</v>
      </c>
      <c r="AB20" s="60">
        <v>1.5</v>
      </c>
      <c r="AC20" s="60">
        <v>2</v>
      </c>
      <c r="AD20" s="60">
        <v>2.5</v>
      </c>
      <c r="AG20" s="1" t="s">
        <v>1274</v>
      </c>
      <c r="AH20" s="81"/>
      <c r="AJ20" s="1">
        <f t="shared" ref="AJ20:AJ21" si="27">(X20*1000000)/1000000</f>
        <v>0</v>
      </c>
      <c r="AK20" s="1">
        <f t="shared" si="21"/>
        <v>0</v>
      </c>
      <c r="AL20" s="1">
        <f t="shared" si="22"/>
        <v>0.5</v>
      </c>
      <c r="AM20" s="1">
        <f t="shared" si="23"/>
        <v>1</v>
      </c>
      <c r="AN20" s="1">
        <f t="shared" si="24"/>
        <v>1.5</v>
      </c>
      <c r="AO20" s="1">
        <f t="shared" si="25"/>
        <v>2</v>
      </c>
      <c r="AP20" s="1">
        <f t="shared" si="26"/>
        <v>2.5</v>
      </c>
    </row>
    <row r="21" spans="1:42" x14ac:dyDescent="0.25">
      <c r="A21" s="1" t="s">
        <v>1131</v>
      </c>
      <c r="C21" s="1" t="s">
        <v>1029</v>
      </c>
      <c r="D21" s="1" t="s">
        <v>1052</v>
      </c>
      <c r="F21" s="17" t="s">
        <v>1126</v>
      </c>
      <c r="I21" s="17">
        <v>100</v>
      </c>
      <c r="J21" s="18" t="s">
        <v>1118</v>
      </c>
      <c r="O21" s="60">
        <v>0</v>
      </c>
      <c r="P21" s="60">
        <v>0</v>
      </c>
      <c r="Q21" s="60">
        <v>0</v>
      </c>
      <c r="R21" s="60">
        <v>0</v>
      </c>
      <c r="S21" s="60">
        <v>0</v>
      </c>
      <c r="T21" s="60">
        <v>0</v>
      </c>
      <c r="U21" s="60">
        <v>0</v>
      </c>
      <c r="V21" s="60">
        <v>0</v>
      </c>
      <c r="W21" s="60">
        <v>0</v>
      </c>
      <c r="X21" s="66">
        <v>0</v>
      </c>
      <c r="Y21" s="76">
        <v>0</v>
      </c>
      <c r="Z21" s="71">
        <v>0</v>
      </c>
      <c r="AA21" s="60">
        <v>0.5</v>
      </c>
      <c r="AB21" s="60">
        <v>0.5</v>
      </c>
      <c r="AC21" s="60">
        <v>1</v>
      </c>
      <c r="AD21" s="60">
        <v>1.5</v>
      </c>
      <c r="AG21" s="1" t="s">
        <v>1274</v>
      </c>
      <c r="AH21" s="81"/>
      <c r="AJ21" s="1">
        <f t="shared" si="27"/>
        <v>0</v>
      </c>
      <c r="AK21" s="1">
        <f t="shared" si="21"/>
        <v>0</v>
      </c>
      <c r="AL21" s="1">
        <f t="shared" si="22"/>
        <v>0</v>
      </c>
      <c r="AM21" s="1">
        <f t="shared" si="23"/>
        <v>0.5</v>
      </c>
      <c r="AN21" s="1">
        <f t="shared" si="24"/>
        <v>0.5</v>
      </c>
      <c r="AO21" s="1">
        <f t="shared" si="25"/>
        <v>1</v>
      </c>
      <c r="AP21" s="1">
        <f t="shared" si="26"/>
        <v>1.5</v>
      </c>
    </row>
    <row r="22" spans="1:42" x14ac:dyDescent="0.25">
      <c r="A22" s="1" t="s">
        <v>1132</v>
      </c>
      <c r="C22" s="1" t="s">
        <v>1029</v>
      </c>
      <c r="D22" s="1" t="s">
        <v>1052</v>
      </c>
      <c r="F22" s="17" t="s">
        <v>1127</v>
      </c>
      <c r="I22" s="17">
        <v>100</v>
      </c>
      <c r="J22" s="18" t="s">
        <v>1118</v>
      </c>
      <c r="O22" s="60">
        <v>0</v>
      </c>
      <c r="P22" s="60">
        <v>0</v>
      </c>
      <c r="Q22" s="60">
        <v>0</v>
      </c>
      <c r="R22" s="60">
        <v>0</v>
      </c>
      <c r="S22" s="60">
        <v>0</v>
      </c>
      <c r="T22" s="60">
        <v>0</v>
      </c>
      <c r="U22" s="60">
        <v>0</v>
      </c>
      <c r="V22" s="60">
        <v>0</v>
      </c>
      <c r="W22" s="60">
        <v>0</v>
      </c>
      <c r="X22" s="66">
        <v>0</v>
      </c>
      <c r="Y22" s="76">
        <v>0</v>
      </c>
      <c r="Z22" s="71">
        <v>0</v>
      </c>
      <c r="AA22" s="60">
        <v>0</v>
      </c>
      <c r="AB22" s="60">
        <v>0.5</v>
      </c>
      <c r="AC22" s="60">
        <v>1</v>
      </c>
      <c r="AD22" s="60">
        <v>1.5</v>
      </c>
      <c r="AG22" s="1" t="s">
        <v>1274</v>
      </c>
      <c r="AH22" s="81"/>
      <c r="AJ22" s="1">
        <f t="shared" ref="AJ22:AJ23" si="28">(X22*1000000)/1000000</f>
        <v>0</v>
      </c>
      <c r="AK22" s="1">
        <f t="shared" ref="AK22:AK23" si="29">(Y22*1000000)/1000000</f>
        <v>0</v>
      </c>
      <c r="AL22" s="1">
        <f t="shared" ref="AL22:AL23" si="30">(Z22*1000000)/1000000</f>
        <v>0</v>
      </c>
      <c r="AM22" s="1">
        <f t="shared" ref="AM22:AM23" si="31">(AA22*1000000)/1000000</f>
        <v>0</v>
      </c>
      <c r="AN22" s="1">
        <f t="shared" ref="AN22:AN23" si="32">(AB22*1000000)/1000000</f>
        <v>0.5</v>
      </c>
      <c r="AO22" s="1">
        <f t="shared" ref="AO22:AO23" si="33">(AC22*1000000)/1000000</f>
        <v>1</v>
      </c>
      <c r="AP22" s="1">
        <f t="shared" ref="AP22:AP23" si="34">(AD22*1000000)/1000000</f>
        <v>1.5</v>
      </c>
    </row>
    <row r="23" spans="1:42" x14ac:dyDescent="0.25">
      <c r="A23" s="1" t="s">
        <v>1133</v>
      </c>
      <c r="C23" s="1" t="s">
        <v>1029</v>
      </c>
      <c r="D23" s="1" t="s">
        <v>1052</v>
      </c>
      <c r="F23" s="17" t="s">
        <v>1128</v>
      </c>
      <c r="I23" s="17">
        <v>100</v>
      </c>
      <c r="J23" s="18" t="s">
        <v>1118</v>
      </c>
      <c r="O23" s="60">
        <v>0</v>
      </c>
      <c r="P23" s="60">
        <v>0</v>
      </c>
      <c r="Q23" s="60">
        <v>0</v>
      </c>
      <c r="R23" s="60">
        <v>0</v>
      </c>
      <c r="S23" s="60">
        <v>0</v>
      </c>
      <c r="T23" s="60">
        <v>0</v>
      </c>
      <c r="U23" s="60">
        <v>0</v>
      </c>
      <c r="V23" s="60">
        <v>0</v>
      </c>
      <c r="W23" s="60">
        <v>0</v>
      </c>
      <c r="X23" s="66">
        <v>0</v>
      </c>
      <c r="Y23" s="76">
        <v>0</v>
      </c>
      <c r="Z23" s="71">
        <v>0</v>
      </c>
      <c r="AA23" s="60">
        <v>0</v>
      </c>
      <c r="AB23" s="60">
        <v>0.5</v>
      </c>
      <c r="AC23" s="60">
        <v>1</v>
      </c>
      <c r="AD23" s="60">
        <v>1.5</v>
      </c>
      <c r="AG23" s="1" t="s">
        <v>1274</v>
      </c>
      <c r="AH23" s="81"/>
      <c r="AJ23" s="1">
        <f t="shared" si="28"/>
        <v>0</v>
      </c>
      <c r="AK23" s="1">
        <f t="shared" si="29"/>
        <v>0</v>
      </c>
      <c r="AL23" s="1">
        <f t="shared" si="30"/>
        <v>0</v>
      </c>
      <c r="AM23" s="1">
        <f t="shared" si="31"/>
        <v>0</v>
      </c>
      <c r="AN23" s="1">
        <f t="shared" si="32"/>
        <v>0.5</v>
      </c>
      <c r="AO23" s="1">
        <f t="shared" si="33"/>
        <v>1</v>
      </c>
      <c r="AP23" s="1">
        <f t="shared" si="34"/>
        <v>1.5</v>
      </c>
    </row>
    <row r="24" spans="1:42" x14ac:dyDescent="0.25">
      <c r="B24" s="1"/>
      <c r="C24" s="1"/>
      <c r="I24" s="17"/>
      <c r="AG24" s="1"/>
      <c r="AH24" s="81"/>
    </row>
    <row r="25" spans="1:42" x14ac:dyDescent="0.25">
      <c r="B25" s="1"/>
      <c r="C25" s="1"/>
      <c r="I25" s="17"/>
      <c r="N25" s="1"/>
      <c r="AG25" s="1"/>
      <c r="AH25" s="81"/>
      <c r="AJ25" s="1" t="s">
        <v>1195</v>
      </c>
    </row>
    <row r="26" spans="1:42" x14ac:dyDescent="0.25">
      <c r="A26" s="1" t="s">
        <v>1183</v>
      </c>
      <c r="C26" s="1" t="s">
        <v>1029</v>
      </c>
      <c r="D26" s="1" t="s">
        <v>1054</v>
      </c>
      <c r="F26" s="17" t="s">
        <v>1193</v>
      </c>
      <c r="G26" s="17"/>
      <c r="H26" s="17"/>
      <c r="I26" s="17">
        <v>1</v>
      </c>
      <c r="J26" s="18" t="s">
        <v>1194</v>
      </c>
      <c r="K26" s="18" t="s">
        <v>615</v>
      </c>
      <c r="M26" s="18">
        <v>15</v>
      </c>
      <c r="N26" s="17"/>
      <c r="O26" s="61">
        <v>0</v>
      </c>
      <c r="P26" s="60">
        <v>0.5</v>
      </c>
      <c r="Q26" s="61">
        <v>1</v>
      </c>
      <c r="R26" s="61">
        <v>1.3</v>
      </c>
      <c r="S26" s="61">
        <v>1.6</v>
      </c>
      <c r="T26" s="61">
        <v>2</v>
      </c>
      <c r="U26" s="61">
        <v>2</v>
      </c>
      <c r="V26" s="61">
        <v>1.5</v>
      </c>
      <c r="W26" s="61">
        <v>1</v>
      </c>
      <c r="X26" s="66">
        <v>1</v>
      </c>
      <c r="Y26" s="76">
        <v>0.5</v>
      </c>
      <c r="Z26" s="60">
        <v>0.4</v>
      </c>
      <c r="AA26" s="60">
        <v>0.3</v>
      </c>
      <c r="AB26" s="60">
        <v>0.2</v>
      </c>
      <c r="AC26" s="60">
        <v>0.1</v>
      </c>
      <c r="AD26" s="60">
        <v>0.1</v>
      </c>
      <c r="AG26" s="1" t="s">
        <v>1278</v>
      </c>
      <c r="AH26" s="81"/>
      <c r="AJ26" s="1">
        <f>X26*1000/1000000</f>
        <v>1E-3</v>
      </c>
      <c r="AK26" s="1">
        <f t="shared" ref="AK26:AK31" si="35">(Y26*1000000)/1000000</f>
        <v>0.5</v>
      </c>
      <c r="AL26" s="1">
        <f t="shared" ref="AL26:AL31" si="36">(Z26*1000000)/1000000</f>
        <v>0.4</v>
      </c>
      <c r="AM26" s="1">
        <f t="shared" ref="AM26:AM31" si="37">(AA26*1000000)/1000000</f>
        <v>0.3</v>
      </c>
      <c r="AN26" s="1">
        <f t="shared" ref="AN26:AN31" si="38">(AB26*1000000)/1000000</f>
        <v>0.2</v>
      </c>
      <c r="AO26" s="1">
        <f t="shared" ref="AO26:AO31" si="39">(AC26*1000000)/1000000</f>
        <v>0.1</v>
      </c>
      <c r="AP26" s="1">
        <f t="shared" ref="AP26:AP31" si="40">(AD26*1000000)/1000000</f>
        <v>0.1</v>
      </c>
    </row>
    <row r="27" spans="1:42" x14ac:dyDescent="0.25">
      <c r="A27" s="1" t="s">
        <v>1119</v>
      </c>
      <c r="C27" s="1" t="s">
        <v>1029</v>
      </c>
      <c r="D27" s="1" t="s">
        <v>1054</v>
      </c>
      <c r="F27" s="17" t="s">
        <v>1188</v>
      </c>
      <c r="G27" s="17"/>
      <c r="H27" s="17"/>
      <c r="I27" s="17">
        <v>1</v>
      </c>
      <c r="J27" s="18" t="s">
        <v>1194</v>
      </c>
      <c r="K27" s="18" t="s">
        <v>615</v>
      </c>
      <c r="M27" s="18">
        <v>30</v>
      </c>
      <c r="N27" s="17"/>
      <c r="O27" s="61">
        <v>0</v>
      </c>
      <c r="P27" s="61">
        <v>0</v>
      </c>
      <c r="Q27" s="61">
        <v>0</v>
      </c>
      <c r="R27" s="61">
        <v>0</v>
      </c>
      <c r="S27" s="61">
        <v>0</v>
      </c>
      <c r="T27" s="61">
        <v>0.2</v>
      </c>
      <c r="U27" s="61">
        <v>0.5</v>
      </c>
      <c r="V27" s="61">
        <v>1.5</v>
      </c>
      <c r="W27" s="61">
        <v>2</v>
      </c>
      <c r="X27" s="66">
        <v>1.5</v>
      </c>
      <c r="Y27" s="76">
        <v>1</v>
      </c>
      <c r="Z27" s="71">
        <v>0.8</v>
      </c>
      <c r="AA27" s="60">
        <v>0.6</v>
      </c>
      <c r="AB27" s="60">
        <v>0.4</v>
      </c>
      <c r="AC27" s="60">
        <v>0.2</v>
      </c>
      <c r="AD27" s="60">
        <v>0.2</v>
      </c>
      <c r="AG27" s="1" t="s">
        <v>1274</v>
      </c>
      <c r="AH27" s="81"/>
      <c r="AJ27" s="1">
        <f>(X27*1000000)/1000000</f>
        <v>1.5</v>
      </c>
      <c r="AK27" s="1">
        <f t="shared" si="35"/>
        <v>1</v>
      </c>
      <c r="AL27" s="1">
        <f t="shared" si="36"/>
        <v>0.8</v>
      </c>
      <c r="AM27" s="1">
        <f t="shared" si="37"/>
        <v>0.6</v>
      </c>
      <c r="AN27" s="1">
        <f t="shared" si="38"/>
        <v>0.4</v>
      </c>
      <c r="AO27" s="1">
        <f t="shared" si="39"/>
        <v>0.2</v>
      </c>
      <c r="AP27" s="1">
        <f t="shared" si="40"/>
        <v>0.2</v>
      </c>
    </row>
    <row r="28" spans="1:42" x14ac:dyDescent="0.25">
      <c r="A28" s="1" t="s">
        <v>1184</v>
      </c>
      <c r="C28" s="1" t="s">
        <v>1029</v>
      </c>
      <c r="D28" s="1" t="s">
        <v>1054</v>
      </c>
      <c r="F28" s="17" t="s">
        <v>1189</v>
      </c>
      <c r="I28" s="17">
        <v>1</v>
      </c>
      <c r="J28" s="18" t="s">
        <v>1194</v>
      </c>
      <c r="O28" s="60">
        <v>0</v>
      </c>
      <c r="P28" s="60">
        <v>0</v>
      </c>
      <c r="Q28" s="60">
        <v>0</v>
      </c>
      <c r="R28" s="60">
        <v>0</v>
      </c>
      <c r="S28" s="60">
        <v>0</v>
      </c>
      <c r="T28" s="60">
        <v>0</v>
      </c>
      <c r="U28" s="60">
        <v>0</v>
      </c>
      <c r="V28" s="60">
        <v>0</v>
      </c>
      <c r="W28" s="60">
        <v>0</v>
      </c>
      <c r="X28" s="66">
        <v>0</v>
      </c>
      <c r="Y28" s="76">
        <v>0</v>
      </c>
      <c r="Z28" s="71">
        <v>1</v>
      </c>
      <c r="AA28" s="60">
        <v>0.8</v>
      </c>
      <c r="AB28" s="60">
        <v>0.6</v>
      </c>
      <c r="AC28" s="60">
        <v>0.4</v>
      </c>
      <c r="AD28" s="60">
        <v>0.2</v>
      </c>
      <c r="AG28" s="1" t="s">
        <v>1274</v>
      </c>
      <c r="AH28" s="81"/>
      <c r="AJ28" s="1">
        <f t="shared" ref="AJ28:AJ31" si="41">(X28*1000000)/1000000</f>
        <v>0</v>
      </c>
      <c r="AK28" s="1">
        <f t="shared" si="35"/>
        <v>0</v>
      </c>
      <c r="AL28" s="1">
        <f t="shared" si="36"/>
        <v>1</v>
      </c>
      <c r="AM28" s="1">
        <f t="shared" si="37"/>
        <v>0.8</v>
      </c>
      <c r="AN28" s="1">
        <f t="shared" si="38"/>
        <v>0.6</v>
      </c>
      <c r="AO28" s="1">
        <f t="shared" si="39"/>
        <v>0.4</v>
      </c>
      <c r="AP28" s="1">
        <f t="shared" si="40"/>
        <v>0.2</v>
      </c>
    </row>
    <row r="29" spans="1:42" x14ac:dyDescent="0.25">
      <c r="A29" s="1" t="s">
        <v>1185</v>
      </c>
      <c r="C29" s="1" t="s">
        <v>1029</v>
      </c>
      <c r="D29" s="1" t="s">
        <v>1054</v>
      </c>
      <c r="F29" s="17" t="s">
        <v>1190</v>
      </c>
      <c r="I29" s="17">
        <v>1</v>
      </c>
      <c r="J29" s="18" t="s">
        <v>1194</v>
      </c>
      <c r="O29" s="60">
        <v>0</v>
      </c>
      <c r="P29" s="60">
        <v>0</v>
      </c>
      <c r="Q29" s="60">
        <v>0</v>
      </c>
      <c r="R29" s="60">
        <v>0</v>
      </c>
      <c r="S29" s="60">
        <v>0</v>
      </c>
      <c r="T29" s="60">
        <v>0</v>
      </c>
      <c r="U29" s="60">
        <v>0</v>
      </c>
      <c r="V29" s="60">
        <v>0</v>
      </c>
      <c r="W29" s="60">
        <v>0</v>
      </c>
      <c r="X29" s="66">
        <v>0</v>
      </c>
      <c r="Y29" s="76">
        <v>0</v>
      </c>
      <c r="Z29" s="71">
        <v>0</v>
      </c>
      <c r="AA29" s="60">
        <v>1</v>
      </c>
      <c r="AB29" s="60">
        <v>0.8</v>
      </c>
      <c r="AC29" s="60">
        <v>0.6</v>
      </c>
      <c r="AD29" s="60">
        <v>0.4</v>
      </c>
      <c r="AG29" s="1" t="s">
        <v>1274</v>
      </c>
      <c r="AH29" s="81"/>
      <c r="AJ29" s="1">
        <f t="shared" si="41"/>
        <v>0</v>
      </c>
      <c r="AK29" s="1">
        <f t="shared" si="35"/>
        <v>0</v>
      </c>
      <c r="AL29" s="1">
        <f t="shared" si="36"/>
        <v>0</v>
      </c>
      <c r="AM29" s="1">
        <f t="shared" si="37"/>
        <v>1</v>
      </c>
      <c r="AN29" s="1">
        <f t="shared" si="38"/>
        <v>0.8</v>
      </c>
      <c r="AO29" s="1">
        <f t="shared" si="39"/>
        <v>0.6</v>
      </c>
      <c r="AP29" s="1">
        <f t="shared" si="40"/>
        <v>0.4</v>
      </c>
    </row>
    <row r="30" spans="1:42" x14ac:dyDescent="0.25">
      <c r="A30" s="1" t="s">
        <v>1186</v>
      </c>
      <c r="C30" s="1" t="s">
        <v>1029</v>
      </c>
      <c r="D30" s="1" t="s">
        <v>1054</v>
      </c>
      <c r="F30" s="17" t="s">
        <v>1191</v>
      </c>
      <c r="I30" s="17">
        <v>1</v>
      </c>
      <c r="J30" s="18" t="s">
        <v>1194</v>
      </c>
      <c r="O30" s="60">
        <v>0</v>
      </c>
      <c r="P30" s="60">
        <v>0</v>
      </c>
      <c r="Q30" s="60">
        <v>0</v>
      </c>
      <c r="R30" s="60">
        <v>0</v>
      </c>
      <c r="S30" s="60">
        <v>0</v>
      </c>
      <c r="T30" s="60">
        <v>0</v>
      </c>
      <c r="U30" s="60">
        <v>0</v>
      </c>
      <c r="V30" s="60">
        <v>0</v>
      </c>
      <c r="W30" s="60">
        <v>0</v>
      </c>
      <c r="X30" s="66">
        <v>0</v>
      </c>
      <c r="Y30" s="76">
        <v>0</v>
      </c>
      <c r="Z30" s="71">
        <v>0</v>
      </c>
      <c r="AA30" s="60">
        <v>0</v>
      </c>
      <c r="AB30" s="60">
        <v>1</v>
      </c>
      <c r="AC30" s="60">
        <v>0.8</v>
      </c>
      <c r="AD30" s="60">
        <v>0.6</v>
      </c>
      <c r="AG30" s="1" t="s">
        <v>1274</v>
      </c>
      <c r="AH30" s="81"/>
      <c r="AJ30" s="1">
        <f t="shared" si="41"/>
        <v>0</v>
      </c>
      <c r="AK30" s="1">
        <f t="shared" si="35"/>
        <v>0</v>
      </c>
      <c r="AL30" s="1">
        <f t="shared" si="36"/>
        <v>0</v>
      </c>
      <c r="AM30" s="1">
        <f t="shared" si="37"/>
        <v>0</v>
      </c>
      <c r="AN30" s="1">
        <f t="shared" si="38"/>
        <v>1</v>
      </c>
      <c r="AO30" s="1">
        <f t="shared" si="39"/>
        <v>0.8</v>
      </c>
      <c r="AP30" s="1">
        <f t="shared" si="40"/>
        <v>0.6</v>
      </c>
    </row>
    <row r="31" spans="1:42" x14ac:dyDescent="0.25">
      <c r="A31" s="1" t="s">
        <v>1187</v>
      </c>
      <c r="C31" s="1" t="s">
        <v>1029</v>
      </c>
      <c r="D31" s="1" t="s">
        <v>1054</v>
      </c>
      <c r="F31" s="17" t="s">
        <v>1192</v>
      </c>
      <c r="I31" s="17">
        <v>1</v>
      </c>
      <c r="J31" s="18" t="s">
        <v>1194</v>
      </c>
      <c r="O31" s="60">
        <v>0</v>
      </c>
      <c r="P31" s="60">
        <v>0</v>
      </c>
      <c r="Q31" s="60">
        <v>0</v>
      </c>
      <c r="R31" s="60">
        <v>0</v>
      </c>
      <c r="S31" s="60">
        <v>0</v>
      </c>
      <c r="T31" s="60">
        <v>0</v>
      </c>
      <c r="U31" s="60">
        <v>0</v>
      </c>
      <c r="V31" s="60">
        <v>0</v>
      </c>
      <c r="W31" s="60">
        <v>0</v>
      </c>
      <c r="X31" s="66">
        <v>0</v>
      </c>
      <c r="Y31" s="76">
        <v>0</v>
      </c>
      <c r="Z31" s="71">
        <v>0</v>
      </c>
      <c r="AA31" s="60">
        <v>0</v>
      </c>
      <c r="AB31" s="60">
        <v>0</v>
      </c>
      <c r="AC31" s="60">
        <v>1</v>
      </c>
      <c r="AD31" s="60">
        <v>2</v>
      </c>
      <c r="AG31" s="1" t="s">
        <v>1274</v>
      </c>
      <c r="AH31" s="81"/>
      <c r="AJ31" s="1">
        <f t="shared" si="41"/>
        <v>0</v>
      </c>
      <c r="AK31" s="1">
        <f t="shared" si="35"/>
        <v>0</v>
      </c>
      <c r="AL31" s="1">
        <f t="shared" si="36"/>
        <v>0</v>
      </c>
      <c r="AM31" s="1">
        <f t="shared" si="37"/>
        <v>0</v>
      </c>
      <c r="AN31" s="1">
        <f t="shared" si="38"/>
        <v>0</v>
      </c>
      <c r="AO31" s="1">
        <f t="shared" si="39"/>
        <v>1</v>
      </c>
      <c r="AP31" s="1">
        <f t="shared" si="40"/>
        <v>2</v>
      </c>
    </row>
    <row r="32" spans="1:42" x14ac:dyDescent="0.25">
      <c r="A32" s="1"/>
      <c r="C32" s="1"/>
      <c r="F32" s="17"/>
      <c r="I32" s="17"/>
      <c r="AG32" s="1"/>
      <c r="AH32" s="81"/>
    </row>
    <row r="33" spans="1:36" x14ac:dyDescent="0.25">
      <c r="A33" s="1"/>
      <c r="C33" s="1"/>
      <c r="F33" s="17"/>
      <c r="I33" s="17"/>
      <c r="AG33" s="1"/>
      <c r="AH33" s="81"/>
    </row>
    <row r="34" spans="1:36" x14ac:dyDescent="0.25">
      <c r="A34" s="1"/>
      <c r="C34" s="1"/>
      <c r="F34" s="1"/>
      <c r="G34" s="1"/>
      <c r="H34" s="1"/>
      <c r="I34" s="1"/>
      <c r="J34" s="1"/>
      <c r="K34" s="1"/>
      <c r="L34" s="1"/>
      <c r="M34" s="1"/>
      <c r="N34" s="1"/>
      <c r="AG34" s="1"/>
      <c r="AH34" s="81"/>
    </row>
    <row r="35" spans="1:36" x14ac:dyDescent="0.25">
      <c r="A35" s="12" t="s">
        <v>1075</v>
      </c>
      <c r="C35" s="1"/>
      <c r="F35" s="1"/>
      <c r="G35" s="1"/>
      <c r="H35" s="1"/>
      <c r="J35" s="1"/>
      <c r="K35" s="1"/>
      <c r="L35" s="1"/>
      <c r="M35" s="1"/>
      <c r="N35" s="1"/>
      <c r="AG35" s="1"/>
      <c r="AH35" s="81"/>
    </row>
    <row r="36" spans="1:36" x14ac:dyDescent="0.25">
      <c r="A36" s="1"/>
      <c r="C36" s="1"/>
      <c r="F36" s="1"/>
      <c r="G36" s="1"/>
      <c r="H36" s="1"/>
      <c r="J36" s="1"/>
      <c r="K36" s="1"/>
      <c r="L36" s="1"/>
      <c r="M36" s="1"/>
      <c r="N36" s="1"/>
      <c r="AG36" s="1"/>
      <c r="AH36" s="81"/>
      <c r="AJ36" s="1" t="s">
        <v>956</v>
      </c>
    </row>
    <row r="37" spans="1:36" x14ac:dyDescent="0.25">
      <c r="A37" s="1" t="s">
        <v>967</v>
      </c>
      <c r="C37" s="1" t="s">
        <v>1035</v>
      </c>
      <c r="D37" s="1" t="s">
        <v>1055</v>
      </c>
      <c r="F37" s="1" t="s">
        <v>891</v>
      </c>
      <c r="G37" s="1"/>
      <c r="H37" s="1"/>
      <c r="I37" s="18">
        <v>10</v>
      </c>
      <c r="J37" s="18" t="s">
        <v>1196</v>
      </c>
      <c r="K37" s="18" t="s">
        <v>615</v>
      </c>
      <c r="N37" s="1"/>
      <c r="O37" s="60">
        <v>0</v>
      </c>
      <c r="P37" s="60">
        <v>0</v>
      </c>
      <c r="Q37" s="60">
        <v>0.1</v>
      </c>
      <c r="R37" s="60">
        <v>0.5</v>
      </c>
      <c r="S37" s="60">
        <v>0.5</v>
      </c>
      <c r="T37" s="60">
        <v>0.5</v>
      </c>
      <c r="U37" s="60">
        <v>0.5</v>
      </c>
      <c r="V37" s="60">
        <v>1</v>
      </c>
      <c r="W37" s="60">
        <v>1</v>
      </c>
      <c r="X37" s="60">
        <v>1</v>
      </c>
      <c r="Y37" s="76">
        <v>1</v>
      </c>
      <c r="Z37" s="71">
        <v>1</v>
      </c>
      <c r="AA37" s="60">
        <v>1</v>
      </c>
      <c r="AB37" s="60">
        <v>1</v>
      </c>
      <c r="AC37" s="60">
        <v>1</v>
      </c>
      <c r="AD37" s="60">
        <v>1</v>
      </c>
      <c r="AG37" s="1" t="s">
        <v>1274</v>
      </c>
      <c r="AH37" s="81"/>
    </row>
    <row r="38" spans="1:36" x14ac:dyDescent="0.25">
      <c r="A38" s="1" t="s">
        <v>966</v>
      </c>
      <c r="C38" s="1" t="s">
        <v>1035</v>
      </c>
      <c r="D38" s="1" t="s">
        <v>1055</v>
      </c>
      <c r="F38" s="1" t="s">
        <v>892</v>
      </c>
      <c r="G38" s="1"/>
      <c r="H38" s="1"/>
      <c r="I38" s="18">
        <v>10</v>
      </c>
      <c r="J38" s="18" t="s">
        <v>1196</v>
      </c>
      <c r="K38" s="18" t="s">
        <v>615</v>
      </c>
      <c r="N38" s="1"/>
      <c r="O38" s="60">
        <v>0</v>
      </c>
      <c r="P38" s="60">
        <v>0</v>
      </c>
      <c r="Q38" s="60">
        <v>0</v>
      </c>
      <c r="R38" s="60">
        <v>0</v>
      </c>
      <c r="S38" s="60">
        <v>0</v>
      </c>
      <c r="T38" s="60">
        <v>0</v>
      </c>
      <c r="U38" s="60">
        <v>0</v>
      </c>
      <c r="V38" s="60">
        <v>0.5</v>
      </c>
      <c r="W38" s="60">
        <v>0.5</v>
      </c>
      <c r="X38" s="60">
        <v>0.5</v>
      </c>
      <c r="Y38" s="76">
        <v>0.5</v>
      </c>
      <c r="Z38" s="71">
        <v>0.5</v>
      </c>
      <c r="AA38" s="60">
        <v>0.5</v>
      </c>
      <c r="AB38" s="60">
        <v>0.5</v>
      </c>
      <c r="AC38" s="60">
        <v>0.5</v>
      </c>
      <c r="AD38" s="60">
        <v>0.5</v>
      </c>
      <c r="AG38" s="1" t="s">
        <v>1256</v>
      </c>
      <c r="AH38" s="81"/>
    </row>
    <row r="39" spans="1:36" x14ac:dyDescent="0.25">
      <c r="A39" s="1" t="s">
        <v>968</v>
      </c>
      <c r="C39" s="1" t="s">
        <v>1035</v>
      </c>
      <c r="D39" s="1" t="s">
        <v>1055</v>
      </c>
      <c r="F39" s="1" t="s">
        <v>893</v>
      </c>
      <c r="G39" s="1"/>
      <c r="H39" s="1"/>
      <c r="I39" s="18">
        <v>1</v>
      </c>
      <c r="J39" s="18" t="s">
        <v>1197</v>
      </c>
      <c r="K39" s="18" t="s">
        <v>615</v>
      </c>
      <c r="N39" s="1"/>
      <c r="O39" s="60">
        <v>0</v>
      </c>
      <c r="P39" s="60">
        <v>0</v>
      </c>
      <c r="Q39" s="60">
        <v>0</v>
      </c>
      <c r="R39" s="60">
        <v>0</v>
      </c>
      <c r="S39" s="60">
        <v>0</v>
      </c>
      <c r="T39" s="60">
        <v>0</v>
      </c>
      <c r="U39" s="60">
        <v>0</v>
      </c>
      <c r="V39" s="60">
        <v>0</v>
      </c>
      <c r="W39" s="60">
        <v>0.1</v>
      </c>
      <c r="X39" s="60">
        <v>0.1</v>
      </c>
      <c r="Y39" s="76">
        <v>0.1</v>
      </c>
      <c r="Z39" s="71">
        <v>0.1</v>
      </c>
      <c r="AA39" s="60">
        <v>0.15</v>
      </c>
      <c r="AB39" s="60">
        <v>0.2</v>
      </c>
      <c r="AC39" s="60">
        <v>0.25</v>
      </c>
      <c r="AD39" s="60">
        <v>0.3</v>
      </c>
      <c r="AG39" s="1" t="s">
        <v>1277</v>
      </c>
      <c r="AH39" s="81"/>
    </row>
    <row r="40" spans="1:36" x14ac:dyDescent="0.25">
      <c r="A40" s="1" t="s">
        <v>970</v>
      </c>
      <c r="C40" s="1" t="s">
        <v>1035</v>
      </c>
      <c r="D40" s="1" t="s">
        <v>1055</v>
      </c>
      <c r="F40" s="1" t="s">
        <v>954</v>
      </c>
      <c r="G40" s="1"/>
      <c r="H40" s="1"/>
      <c r="I40" s="18">
        <v>1</v>
      </c>
      <c r="J40" s="18" t="s">
        <v>1197</v>
      </c>
      <c r="K40" s="1"/>
      <c r="L40" s="1"/>
      <c r="M40" s="1"/>
      <c r="N40" s="1"/>
      <c r="O40" s="60">
        <v>0</v>
      </c>
      <c r="P40" s="60">
        <v>0</v>
      </c>
      <c r="Q40" s="60">
        <v>0</v>
      </c>
      <c r="R40" s="60">
        <v>0</v>
      </c>
      <c r="S40" s="60">
        <v>0</v>
      </c>
      <c r="T40" s="60">
        <v>0</v>
      </c>
      <c r="U40" s="60">
        <v>0</v>
      </c>
      <c r="V40" s="60">
        <v>0</v>
      </c>
      <c r="W40" s="60">
        <v>0</v>
      </c>
      <c r="X40" s="60">
        <v>0</v>
      </c>
      <c r="Y40" s="76">
        <v>0</v>
      </c>
      <c r="Z40" s="71">
        <v>0</v>
      </c>
      <c r="AA40" s="60">
        <v>0</v>
      </c>
      <c r="AB40" s="60">
        <v>1</v>
      </c>
      <c r="AC40" s="60">
        <v>5</v>
      </c>
      <c r="AD40" s="60">
        <v>10</v>
      </c>
      <c r="AG40" s="1" t="s">
        <v>1266</v>
      </c>
      <c r="AH40" s="81"/>
    </row>
    <row r="41" spans="1:36" x14ac:dyDescent="0.25">
      <c r="A41" s="1" t="s">
        <v>969</v>
      </c>
      <c r="C41" s="1" t="s">
        <v>1035</v>
      </c>
      <c r="D41" s="1" t="s">
        <v>1055</v>
      </c>
      <c r="F41" s="17" t="s">
        <v>957</v>
      </c>
      <c r="G41" s="17"/>
      <c r="H41" s="17"/>
      <c r="I41" s="17">
        <v>100</v>
      </c>
      <c r="J41" s="18" t="s">
        <v>1197</v>
      </c>
      <c r="K41" s="18" t="s">
        <v>615</v>
      </c>
      <c r="N41" s="17"/>
      <c r="O41" s="60">
        <v>0</v>
      </c>
      <c r="P41" s="60">
        <v>0</v>
      </c>
      <c r="Q41" s="60">
        <v>2</v>
      </c>
      <c r="R41" s="60">
        <v>10</v>
      </c>
      <c r="S41" s="60">
        <v>5</v>
      </c>
      <c r="T41" s="60">
        <v>2</v>
      </c>
      <c r="U41" s="60">
        <v>0</v>
      </c>
      <c r="V41" s="60">
        <v>0</v>
      </c>
      <c r="W41" s="60">
        <v>0</v>
      </c>
      <c r="X41" s="60">
        <v>0</v>
      </c>
      <c r="Y41" s="77">
        <v>0</v>
      </c>
      <c r="Z41" s="72">
        <v>0</v>
      </c>
      <c r="AA41" s="61">
        <v>0</v>
      </c>
      <c r="AB41" s="61">
        <v>0</v>
      </c>
      <c r="AC41" s="61">
        <v>0</v>
      </c>
      <c r="AD41" s="61">
        <v>0</v>
      </c>
      <c r="AE41" s="17"/>
      <c r="AF41" s="17"/>
      <c r="AG41" s="1" t="s">
        <v>1274</v>
      </c>
      <c r="AH41" s="81"/>
    </row>
    <row r="42" spans="1:36" x14ac:dyDescent="0.25">
      <c r="A42" s="1"/>
      <c r="C42" s="1"/>
      <c r="F42" s="17"/>
      <c r="G42" s="17"/>
      <c r="H42" s="17"/>
      <c r="I42" s="17"/>
      <c r="J42" s="17"/>
      <c r="K42" s="17"/>
      <c r="L42" s="17"/>
      <c r="M42" s="17"/>
      <c r="N42" s="17"/>
      <c r="O42" s="61"/>
      <c r="P42" s="61"/>
      <c r="Q42" s="61"/>
      <c r="R42" s="61"/>
      <c r="S42" s="61"/>
      <c r="T42" s="61"/>
      <c r="U42" s="61"/>
      <c r="V42" s="61"/>
      <c r="W42" s="61"/>
      <c r="X42" s="67"/>
      <c r="Y42" s="77"/>
      <c r="Z42" s="72"/>
      <c r="AA42" s="61"/>
      <c r="AB42" s="61"/>
      <c r="AC42" s="61"/>
      <c r="AD42" s="61"/>
      <c r="AE42" s="17"/>
      <c r="AF42" s="17"/>
      <c r="AG42" s="1"/>
      <c r="AH42" s="81"/>
    </row>
    <row r="43" spans="1:36" s="12" customFormat="1" x14ac:dyDescent="0.25">
      <c r="A43" s="10"/>
      <c r="B43" s="53"/>
      <c r="C43" s="1"/>
      <c r="D43" s="17"/>
      <c r="E43" s="17"/>
      <c r="F43" s="17"/>
      <c r="G43" s="17"/>
      <c r="H43" s="17"/>
      <c r="I43" s="17"/>
      <c r="J43" s="17"/>
      <c r="K43" s="17"/>
      <c r="L43" s="17"/>
      <c r="M43" s="17"/>
      <c r="N43" s="17"/>
      <c r="O43" s="61"/>
      <c r="P43" s="61"/>
      <c r="Q43" s="61"/>
      <c r="R43" s="61"/>
      <c r="S43" s="61"/>
      <c r="T43" s="61"/>
      <c r="U43" s="61"/>
      <c r="V43" s="61"/>
      <c r="W43" s="61"/>
      <c r="X43" s="67"/>
      <c r="Y43" s="77"/>
      <c r="Z43" s="72"/>
      <c r="AA43" s="61"/>
      <c r="AB43" s="61"/>
      <c r="AC43" s="61"/>
      <c r="AD43" s="61"/>
      <c r="AE43" s="17"/>
      <c r="AF43" s="17"/>
      <c r="AG43" s="1"/>
      <c r="AH43" s="81"/>
    </row>
    <row r="44" spans="1:36" s="12" customFormat="1" x14ac:dyDescent="0.25">
      <c r="A44" s="10"/>
      <c r="B44" s="53"/>
      <c r="C44" s="1"/>
      <c r="F44" s="17"/>
      <c r="G44" s="17"/>
      <c r="H44" s="17"/>
      <c r="I44" s="17"/>
      <c r="J44" s="17"/>
      <c r="K44" s="17"/>
      <c r="L44" s="17"/>
      <c r="M44" s="17"/>
      <c r="N44" s="17"/>
      <c r="O44" s="61"/>
      <c r="P44" s="61"/>
      <c r="Q44" s="61"/>
      <c r="R44" s="61"/>
      <c r="S44" s="61"/>
      <c r="T44" s="61"/>
      <c r="U44" s="61"/>
      <c r="V44" s="61"/>
      <c r="W44" s="61"/>
      <c r="X44" s="67"/>
      <c r="Y44" s="77"/>
      <c r="Z44" s="72"/>
      <c r="AA44" s="61"/>
      <c r="AB44" s="61"/>
      <c r="AC44" s="61"/>
      <c r="AD44" s="61"/>
      <c r="AE44" s="17"/>
      <c r="AF44" s="17"/>
      <c r="AG44" s="1"/>
      <c r="AH44" s="81"/>
    </row>
    <row r="45" spans="1:36" s="12" customFormat="1" x14ac:dyDescent="0.25">
      <c r="A45" s="12" t="s">
        <v>1084</v>
      </c>
      <c r="B45" s="53"/>
      <c r="C45" s="1"/>
      <c r="F45" s="17"/>
      <c r="G45" s="17"/>
      <c r="H45" s="17"/>
      <c r="I45" s="17"/>
      <c r="J45" s="17"/>
      <c r="K45" s="17"/>
      <c r="L45" s="17"/>
      <c r="M45" s="17"/>
      <c r="N45" s="17"/>
      <c r="O45" s="61"/>
      <c r="P45" s="61"/>
      <c r="Q45" s="61"/>
      <c r="R45" s="61"/>
      <c r="S45" s="61"/>
      <c r="T45" s="61"/>
      <c r="U45" s="61"/>
      <c r="V45" s="61"/>
      <c r="W45" s="61"/>
      <c r="X45" s="67"/>
      <c r="Y45" s="77"/>
      <c r="Z45" s="72"/>
      <c r="AA45" s="61"/>
      <c r="AB45" s="61"/>
      <c r="AC45" s="61"/>
      <c r="AD45" s="61"/>
      <c r="AE45" s="17"/>
      <c r="AF45" s="17"/>
      <c r="AG45" s="1"/>
      <c r="AH45" s="81"/>
    </row>
    <row r="46" spans="1:36" s="12" customFormat="1" x14ac:dyDescent="0.25">
      <c r="A46" s="1"/>
      <c r="B46" s="53"/>
      <c r="C46" s="1"/>
      <c r="D46" s="1"/>
      <c r="E46" s="1"/>
      <c r="F46" s="18"/>
      <c r="G46" s="17"/>
      <c r="H46" s="17"/>
      <c r="I46" s="17"/>
      <c r="J46" s="17"/>
      <c r="K46" s="17"/>
      <c r="L46" s="17"/>
      <c r="M46" s="17"/>
      <c r="N46" s="17"/>
      <c r="O46" s="61"/>
      <c r="P46" s="61"/>
      <c r="Q46" s="61"/>
      <c r="R46" s="61"/>
      <c r="S46" s="61"/>
      <c r="T46" s="61"/>
      <c r="U46" s="61"/>
      <c r="V46" s="61"/>
      <c r="W46" s="61"/>
      <c r="X46" s="67"/>
      <c r="Y46" s="77"/>
      <c r="Z46" s="72"/>
      <c r="AA46" s="61"/>
      <c r="AB46" s="61"/>
      <c r="AC46" s="61"/>
      <c r="AD46" s="61"/>
      <c r="AE46" s="17"/>
      <c r="AF46" s="17"/>
      <c r="AG46" s="1"/>
      <c r="AH46" s="81"/>
    </row>
    <row r="47" spans="1:36" s="12" customFormat="1" x14ac:dyDescent="0.25">
      <c r="A47" s="1" t="s">
        <v>1021</v>
      </c>
      <c r="B47" s="53"/>
      <c r="C47" s="1" t="s">
        <v>1031</v>
      </c>
      <c r="D47" s="1" t="s">
        <v>1086</v>
      </c>
      <c r="E47" s="1"/>
      <c r="F47" s="1" t="s">
        <v>1022</v>
      </c>
      <c r="G47" s="18"/>
      <c r="H47" s="18"/>
      <c r="I47" s="18">
        <v>100</v>
      </c>
      <c r="J47" s="18" t="s">
        <v>1118</v>
      </c>
      <c r="K47" s="18" t="s">
        <v>615</v>
      </c>
      <c r="L47" s="18"/>
      <c r="M47" s="18">
        <v>100</v>
      </c>
      <c r="N47" s="18"/>
      <c r="O47" s="60">
        <v>0</v>
      </c>
      <c r="P47" s="60">
        <v>0</v>
      </c>
      <c r="Q47" s="60">
        <v>0</v>
      </c>
      <c r="R47" s="60">
        <v>0</v>
      </c>
      <c r="S47" s="60">
        <v>0</v>
      </c>
      <c r="T47" s="60">
        <v>0</v>
      </c>
      <c r="U47" s="60">
        <v>0</v>
      </c>
      <c r="V47" s="60">
        <v>0</v>
      </c>
      <c r="W47" s="60">
        <v>0</v>
      </c>
      <c r="X47" s="60">
        <v>0</v>
      </c>
      <c r="Y47" s="76">
        <v>0</v>
      </c>
      <c r="Z47" s="71">
        <v>0</v>
      </c>
      <c r="AA47" s="60">
        <v>0</v>
      </c>
      <c r="AB47" s="60">
        <v>0</v>
      </c>
      <c r="AC47" s="60">
        <v>0</v>
      </c>
      <c r="AD47" s="60">
        <v>0</v>
      </c>
      <c r="AE47" s="17"/>
      <c r="AF47" s="17"/>
      <c r="AG47" s="1" t="s">
        <v>1274</v>
      </c>
      <c r="AH47" s="81"/>
    </row>
    <row r="48" spans="1:36" s="12" customFormat="1" x14ac:dyDescent="0.25">
      <c r="A48" s="1" t="s">
        <v>1085</v>
      </c>
      <c r="B48" s="53"/>
      <c r="C48" s="1" t="s">
        <v>1031</v>
      </c>
      <c r="D48" s="1" t="s">
        <v>1086</v>
      </c>
      <c r="E48" s="1"/>
      <c r="F48" s="1" t="s">
        <v>1108</v>
      </c>
      <c r="G48" s="18"/>
      <c r="H48" s="18"/>
      <c r="I48" s="18">
        <v>1000</v>
      </c>
      <c r="J48" s="18" t="s">
        <v>1197</v>
      </c>
      <c r="K48" s="18"/>
      <c r="L48" s="18"/>
      <c r="M48" s="18">
        <v>0</v>
      </c>
      <c r="N48" s="18"/>
      <c r="O48" s="60">
        <v>0</v>
      </c>
      <c r="P48" s="60">
        <v>0</v>
      </c>
      <c r="Q48" s="60">
        <v>0</v>
      </c>
      <c r="R48" s="60">
        <v>0</v>
      </c>
      <c r="S48" s="60">
        <v>0</v>
      </c>
      <c r="T48" s="60">
        <v>0</v>
      </c>
      <c r="U48" s="60">
        <v>0</v>
      </c>
      <c r="V48" s="60">
        <v>0</v>
      </c>
      <c r="W48" s="60">
        <v>0</v>
      </c>
      <c r="X48" s="60">
        <v>0</v>
      </c>
      <c r="Y48" s="76">
        <v>0</v>
      </c>
      <c r="Z48" s="71">
        <v>0</v>
      </c>
      <c r="AA48" s="60">
        <v>0</v>
      </c>
      <c r="AB48" s="60">
        <v>0</v>
      </c>
      <c r="AC48" s="60">
        <v>0</v>
      </c>
      <c r="AD48" s="60">
        <v>0</v>
      </c>
      <c r="AE48" s="17"/>
      <c r="AF48" s="17"/>
      <c r="AG48" s="1" t="s">
        <v>1257</v>
      </c>
      <c r="AH48" s="81"/>
    </row>
    <row r="49" spans="1:34" s="12" customFormat="1" x14ac:dyDescent="0.25">
      <c r="A49" s="1"/>
      <c r="B49" s="53"/>
      <c r="C49" s="1"/>
      <c r="D49" s="1"/>
      <c r="E49" s="1"/>
      <c r="F49" s="1"/>
      <c r="G49" s="18"/>
      <c r="H49" s="18"/>
      <c r="I49" s="18"/>
      <c r="J49" s="18"/>
      <c r="K49" s="18"/>
      <c r="L49" s="18"/>
      <c r="M49" s="18"/>
      <c r="N49" s="18"/>
      <c r="O49" s="60"/>
      <c r="P49" s="60"/>
      <c r="Q49" s="60"/>
      <c r="R49" s="60"/>
      <c r="S49" s="60"/>
      <c r="T49" s="60"/>
      <c r="U49" s="60"/>
      <c r="V49" s="60"/>
      <c r="W49" s="60"/>
      <c r="X49" s="66"/>
      <c r="Y49" s="76"/>
      <c r="Z49" s="71"/>
      <c r="AA49" s="60"/>
      <c r="AB49" s="60"/>
      <c r="AC49" s="60"/>
      <c r="AD49" s="60"/>
      <c r="AE49" s="17"/>
      <c r="AF49" s="17"/>
      <c r="AH49" s="81"/>
    </row>
    <row r="50" spans="1:34" s="12" customFormat="1" x14ac:dyDescent="0.25">
      <c r="A50" s="1" t="s">
        <v>971</v>
      </c>
      <c r="B50" s="53"/>
      <c r="C50" s="1" t="s">
        <v>1031</v>
      </c>
      <c r="D50" s="1" t="s">
        <v>1056</v>
      </c>
      <c r="E50" s="1"/>
      <c r="F50" s="18" t="s">
        <v>404</v>
      </c>
      <c r="G50" s="18"/>
      <c r="H50" s="18"/>
      <c r="I50" s="18">
        <v>100</v>
      </c>
      <c r="J50" s="18" t="s">
        <v>1197</v>
      </c>
      <c r="K50" s="18" t="s">
        <v>615</v>
      </c>
      <c r="L50" s="18"/>
      <c r="M50" s="18">
        <v>5</v>
      </c>
      <c r="N50" s="18"/>
      <c r="O50" s="60">
        <v>0</v>
      </c>
      <c r="P50" s="60">
        <v>0</v>
      </c>
      <c r="Q50" s="60">
        <v>0</v>
      </c>
      <c r="R50" s="60">
        <v>0</v>
      </c>
      <c r="S50" s="60">
        <v>0</v>
      </c>
      <c r="T50" s="60">
        <v>0.01</v>
      </c>
      <c r="U50" s="60">
        <v>0.3</v>
      </c>
      <c r="V50" s="60">
        <v>0.7</v>
      </c>
      <c r="W50" s="60">
        <v>1</v>
      </c>
      <c r="X50" s="66">
        <v>1</v>
      </c>
      <c r="Y50" s="76">
        <v>1</v>
      </c>
      <c r="Z50" s="71">
        <v>0.9</v>
      </c>
      <c r="AA50" s="60">
        <v>0.8</v>
      </c>
      <c r="AB50" s="60">
        <v>0.6</v>
      </c>
      <c r="AC50" s="60">
        <v>0.4</v>
      </c>
      <c r="AD50" s="60">
        <v>0.2</v>
      </c>
      <c r="AE50" s="17"/>
      <c r="AF50" s="17"/>
      <c r="AG50" s="1" t="s">
        <v>1272</v>
      </c>
      <c r="AH50" s="81"/>
    </row>
    <row r="51" spans="1:34" s="12" customFormat="1" x14ac:dyDescent="0.25">
      <c r="A51" s="1" t="s">
        <v>972</v>
      </c>
      <c r="B51" s="53"/>
      <c r="C51" s="1" t="s">
        <v>1031</v>
      </c>
      <c r="D51" s="1" t="s">
        <v>1056</v>
      </c>
      <c r="E51" s="1"/>
      <c r="F51" s="18" t="s">
        <v>402</v>
      </c>
      <c r="G51" s="18"/>
      <c r="H51" s="18"/>
      <c r="I51" s="18">
        <v>200</v>
      </c>
      <c r="J51" s="18" t="s">
        <v>1197</v>
      </c>
      <c r="K51" s="18" t="s">
        <v>615</v>
      </c>
      <c r="L51" s="18"/>
      <c r="M51" s="18">
        <v>5</v>
      </c>
      <c r="N51" s="18"/>
      <c r="O51" s="60">
        <v>0</v>
      </c>
      <c r="P51" s="60">
        <v>0</v>
      </c>
      <c r="Q51" s="60">
        <v>0</v>
      </c>
      <c r="R51" s="60">
        <v>0</v>
      </c>
      <c r="S51" s="60">
        <v>0</v>
      </c>
      <c r="T51" s="60">
        <v>0.02</v>
      </c>
      <c r="U51" s="60">
        <v>0.03</v>
      </c>
      <c r="V51" s="60">
        <v>0.02</v>
      </c>
      <c r="W51" s="60">
        <v>0.02</v>
      </c>
      <c r="X51" s="66">
        <v>0.02</v>
      </c>
      <c r="Y51" s="76">
        <v>0.02</v>
      </c>
      <c r="Z51" s="71">
        <v>0.02</v>
      </c>
      <c r="AA51" s="60">
        <v>0.02</v>
      </c>
      <c r="AB51" s="60">
        <v>0.03</v>
      </c>
      <c r="AC51" s="60">
        <v>0.04</v>
      </c>
      <c r="AD51" s="60">
        <v>0.05</v>
      </c>
      <c r="AE51" s="17"/>
      <c r="AF51" s="17"/>
      <c r="AG51" s="1" t="s">
        <v>1274</v>
      </c>
      <c r="AH51" s="81"/>
    </row>
    <row r="52" spans="1:34" s="12" customFormat="1" x14ac:dyDescent="0.25">
      <c r="A52" s="1" t="s">
        <v>973</v>
      </c>
      <c r="B52" s="53"/>
      <c r="C52" s="1" t="s">
        <v>1031</v>
      </c>
      <c r="D52" s="1" t="s">
        <v>1056</v>
      </c>
      <c r="E52" s="1"/>
      <c r="F52" s="18" t="s">
        <v>403</v>
      </c>
      <c r="G52" s="18"/>
      <c r="H52" s="18"/>
      <c r="I52" s="18">
        <v>400</v>
      </c>
      <c r="J52" s="18" t="s">
        <v>1197</v>
      </c>
      <c r="K52" s="18" t="s">
        <v>615</v>
      </c>
      <c r="L52" s="18"/>
      <c r="M52" s="18">
        <v>0.1</v>
      </c>
      <c r="N52" s="18"/>
      <c r="O52" s="60">
        <v>0</v>
      </c>
      <c r="P52" s="60">
        <v>0</v>
      </c>
      <c r="Q52" s="60">
        <v>0</v>
      </c>
      <c r="R52" s="60">
        <v>0</v>
      </c>
      <c r="S52" s="60">
        <v>0</v>
      </c>
      <c r="T52" s="60">
        <v>0</v>
      </c>
      <c r="U52" s="60">
        <v>0</v>
      </c>
      <c r="V52" s="60">
        <v>0</v>
      </c>
      <c r="W52" s="60">
        <v>0</v>
      </c>
      <c r="X52" s="66">
        <v>0</v>
      </c>
      <c r="Y52" s="76">
        <v>0</v>
      </c>
      <c r="Z52" s="71">
        <v>0</v>
      </c>
      <c r="AA52" s="60">
        <v>0</v>
      </c>
      <c r="AB52" s="60">
        <v>0</v>
      </c>
      <c r="AC52" s="60">
        <v>0</v>
      </c>
      <c r="AD52" s="60">
        <v>0</v>
      </c>
      <c r="AE52" s="17"/>
      <c r="AF52" s="17"/>
      <c r="AG52" s="1" t="s">
        <v>1274</v>
      </c>
      <c r="AH52" s="81"/>
    </row>
    <row r="53" spans="1:34" s="12" customFormat="1" x14ac:dyDescent="0.25">
      <c r="A53" s="1" t="s">
        <v>974</v>
      </c>
      <c r="B53" s="53"/>
      <c r="C53" s="1" t="s">
        <v>1031</v>
      </c>
      <c r="D53" s="1" t="s">
        <v>1056</v>
      </c>
      <c r="E53" s="1"/>
      <c r="F53" s="18" t="s">
        <v>411</v>
      </c>
      <c r="G53" s="18"/>
      <c r="H53" s="18"/>
      <c r="I53" s="18">
        <v>1000</v>
      </c>
      <c r="J53" s="18" t="s">
        <v>1197</v>
      </c>
      <c r="K53" s="18" t="s">
        <v>615</v>
      </c>
      <c r="L53" s="18"/>
      <c r="M53" s="18">
        <v>0.1</v>
      </c>
      <c r="N53" s="18"/>
      <c r="O53" s="60">
        <v>0</v>
      </c>
      <c r="P53" s="60">
        <v>0</v>
      </c>
      <c r="Q53" s="60">
        <v>0</v>
      </c>
      <c r="R53" s="60">
        <v>0</v>
      </c>
      <c r="S53" s="60">
        <v>0</v>
      </c>
      <c r="T53" s="60">
        <v>0</v>
      </c>
      <c r="U53" s="60">
        <v>0</v>
      </c>
      <c r="V53" s="60">
        <v>0</v>
      </c>
      <c r="W53" s="60">
        <v>0</v>
      </c>
      <c r="X53" s="66">
        <v>0</v>
      </c>
      <c r="Y53" s="76">
        <v>0</v>
      </c>
      <c r="Z53" s="71">
        <v>0.1</v>
      </c>
      <c r="AA53" s="60">
        <v>0.5</v>
      </c>
      <c r="AB53" s="60">
        <v>1</v>
      </c>
      <c r="AC53" s="60">
        <v>2</v>
      </c>
      <c r="AD53" s="60">
        <v>3</v>
      </c>
      <c r="AE53" s="17"/>
      <c r="AF53" s="17"/>
      <c r="AG53" s="1" t="s">
        <v>1258</v>
      </c>
      <c r="AH53" s="81"/>
    </row>
    <row r="54" spans="1:34" s="12" customFormat="1" x14ac:dyDescent="0.25">
      <c r="A54" s="1"/>
      <c r="B54" s="53"/>
      <c r="C54" s="1"/>
      <c r="D54" s="1"/>
      <c r="E54" s="1"/>
      <c r="F54" s="18"/>
      <c r="G54" s="18"/>
      <c r="H54" s="18"/>
      <c r="I54" s="18"/>
      <c r="J54" s="18"/>
      <c r="K54" s="18"/>
      <c r="L54" s="18"/>
      <c r="M54" s="18"/>
      <c r="N54" s="18"/>
      <c r="O54" s="60"/>
      <c r="P54" s="60"/>
      <c r="Q54" s="60"/>
      <c r="R54" s="60"/>
      <c r="S54" s="60"/>
      <c r="T54" s="60"/>
      <c r="U54" s="60"/>
      <c r="V54" s="60"/>
      <c r="W54" s="60"/>
      <c r="X54" s="66"/>
      <c r="Y54" s="76"/>
      <c r="Z54" s="71"/>
      <c r="AA54" s="60"/>
      <c r="AB54" s="60"/>
      <c r="AC54" s="60"/>
      <c r="AD54" s="60"/>
      <c r="AE54" s="17"/>
      <c r="AF54" s="17"/>
      <c r="AG54" s="1"/>
      <c r="AH54" s="81"/>
    </row>
    <row r="55" spans="1:34" s="12" customFormat="1" x14ac:dyDescent="0.25">
      <c r="A55" s="1"/>
      <c r="B55" s="53"/>
      <c r="C55" s="1"/>
      <c r="D55" s="1"/>
      <c r="E55" s="1"/>
      <c r="F55" s="18"/>
      <c r="G55" s="18"/>
      <c r="H55" s="18"/>
      <c r="I55" s="18"/>
      <c r="J55" s="18"/>
      <c r="K55" s="18"/>
      <c r="L55" s="18"/>
      <c r="M55" s="18"/>
      <c r="N55" s="18"/>
      <c r="O55" s="60"/>
      <c r="P55" s="60"/>
      <c r="Q55" s="60"/>
      <c r="R55" s="60"/>
      <c r="S55" s="60"/>
      <c r="T55" s="60"/>
      <c r="U55" s="60"/>
      <c r="V55" s="60"/>
      <c r="W55" s="60"/>
      <c r="X55" s="66"/>
      <c r="Y55" s="76"/>
      <c r="Z55" s="71"/>
      <c r="AA55" s="60"/>
      <c r="AB55" s="60"/>
      <c r="AC55" s="60"/>
      <c r="AD55" s="60"/>
      <c r="AE55" s="17"/>
      <c r="AF55" s="17"/>
      <c r="AG55" s="1"/>
      <c r="AH55" s="81"/>
    </row>
    <row r="56" spans="1:34" s="12" customFormat="1" x14ac:dyDescent="0.25">
      <c r="A56" s="1" t="s">
        <v>977</v>
      </c>
      <c r="B56" s="53"/>
      <c r="C56" s="1" t="s">
        <v>1031</v>
      </c>
      <c r="D56" s="1" t="s">
        <v>1057</v>
      </c>
      <c r="E56" s="1"/>
      <c r="F56" s="18" t="s">
        <v>392</v>
      </c>
      <c r="G56" s="18"/>
      <c r="H56" s="18"/>
      <c r="I56" s="18">
        <v>100</v>
      </c>
      <c r="J56" s="18" t="s">
        <v>1197</v>
      </c>
      <c r="K56" s="18" t="s">
        <v>615</v>
      </c>
      <c r="L56" s="18"/>
      <c r="M56" s="18">
        <v>20</v>
      </c>
      <c r="N56" s="18"/>
      <c r="O56" s="60"/>
      <c r="P56" s="60"/>
      <c r="Q56" s="60"/>
      <c r="R56" s="60"/>
      <c r="S56" s="60"/>
      <c r="T56" s="60"/>
      <c r="U56" s="60"/>
      <c r="V56" s="60"/>
      <c r="W56" s="60"/>
      <c r="X56" s="60"/>
      <c r="Y56" s="76"/>
      <c r="Z56" s="71"/>
      <c r="AA56" s="60"/>
      <c r="AB56" s="60"/>
      <c r="AC56" s="60"/>
      <c r="AD56" s="60"/>
      <c r="AE56" s="17"/>
      <c r="AF56" s="17"/>
      <c r="AG56" s="1" t="s">
        <v>1274</v>
      </c>
      <c r="AH56" s="81"/>
    </row>
    <row r="57" spans="1:34" s="12" customFormat="1" x14ac:dyDescent="0.25">
      <c r="A57" s="1" t="s">
        <v>978</v>
      </c>
      <c r="B57" s="53"/>
      <c r="C57" s="1" t="s">
        <v>1031</v>
      </c>
      <c r="D57" s="1" t="s">
        <v>1057</v>
      </c>
      <c r="E57" s="1"/>
      <c r="F57" s="18" t="s">
        <v>393</v>
      </c>
      <c r="G57" s="18"/>
      <c r="H57" s="18"/>
      <c r="I57" s="18">
        <v>100</v>
      </c>
      <c r="J57" s="18" t="s">
        <v>1197</v>
      </c>
      <c r="K57" s="18"/>
      <c r="L57" s="18"/>
      <c r="M57" s="18"/>
      <c r="N57" s="18"/>
      <c r="O57" s="60"/>
      <c r="P57" s="60"/>
      <c r="Q57" s="60"/>
      <c r="R57" s="60"/>
      <c r="S57" s="60"/>
      <c r="T57" s="60"/>
      <c r="U57" s="60"/>
      <c r="V57" s="60"/>
      <c r="W57" s="60"/>
      <c r="X57" s="60"/>
      <c r="Y57" s="76"/>
      <c r="Z57" s="71"/>
      <c r="AA57" s="60"/>
      <c r="AB57" s="60"/>
      <c r="AC57" s="60"/>
      <c r="AD57" s="60"/>
      <c r="AE57" s="17"/>
      <c r="AF57" s="17"/>
      <c r="AG57" s="1" t="s">
        <v>1274</v>
      </c>
      <c r="AH57" s="81"/>
    </row>
    <row r="58" spans="1:34" s="12" customFormat="1" x14ac:dyDescent="0.25">
      <c r="A58" s="1" t="s">
        <v>981</v>
      </c>
      <c r="B58" s="53"/>
      <c r="C58" s="1" t="s">
        <v>1031</v>
      </c>
      <c r="D58" s="1" t="s">
        <v>1057</v>
      </c>
      <c r="E58" s="1"/>
      <c r="F58" s="18" t="s">
        <v>979</v>
      </c>
      <c r="G58" s="18"/>
      <c r="H58" s="18"/>
      <c r="I58" s="18">
        <v>100</v>
      </c>
      <c r="J58" s="18" t="s">
        <v>1197</v>
      </c>
      <c r="K58" s="18" t="s">
        <v>615</v>
      </c>
      <c r="L58" s="18"/>
      <c r="M58" s="18">
        <v>50</v>
      </c>
      <c r="N58" s="18"/>
      <c r="O58" s="60"/>
      <c r="P58" s="60"/>
      <c r="Q58" s="60"/>
      <c r="R58" s="60"/>
      <c r="S58" s="60"/>
      <c r="T58" s="60"/>
      <c r="U58" s="60"/>
      <c r="V58" s="60"/>
      <c r="W58" s="60"/>
      <c r="X58" s="60"/>
      <c r="Y58" s="76"/>
      <c r="Z58" s="71"/>
      <c r="AA58" s="60"/>
      <c r="AB58" s="60"/>
      <c r="AC58" s="60"/>
      <c r="AD58" s="60"/>
      <c r="AE58" s="17"/>
      <c r="AF58" s="17"/>
      <c r="AG58" s="1" t="s">
        <v>1274</v>
      </c>
      <c r="AH58" s="81"/>
    </row>
    <row r="59" spans="1:34" s="12" customFormat="1" x14ac:dyDescent="0.25">
      <c r="A59" s="1" t="s">
        <v>982</v>
      </c>
      <c r="B59" s="53"/>
      <c r="C59" s="1" t="s">
        <v>1031</v>
      </c>
      <c r="D59" s="1" t="s">
        <v>1057</v>
      </c>
      <c r="E59" s="1"/>
      <c r="F59" s="18" t="s">
        <v>980</v>
      </c>
      <c r="G59" s="18"/>
      <c r="H59" s="18"/>
      <c r="I59" s="18">
        <v>100</v>
      </c>
      <c r="J59" s="18" t="s">
        <v>1197</v>
      </c>
      <c r="K59" s="18"/>
      <c r="L59" s="18"/>
      <c r="M59" s="18"/>
      <c r="N59" s="18"/>
      <c r="O59" s="60"/>
      <c r="P59" s="60"/>
      <c r="Q59" s="60"/>
      <c r="R59" s="60"/>
      <c r="S59" s="60"/>
      <c r="T59" s="60"/>
      <c r="U59" s="60"/>
      <c r="V59" s="60"/>
      <c r="W59" s="60"/>
      <c r="X59" s="60"/>
      <c r="Y59" s="76"/>
      <c r="Z59" s="71"/>
      <c r="AA59" s="60"/>
      <c r="AB59" s="60"/>
      <c r="AC59" s="60"/>
      <c r="AD59" s="60"/>
      <c r="AE59" s="17"/>
      <c r="AF59" s="17"/>
      <c r="AG59" s="1" t="s">
        <v>1274</v>
      </c>
      <c r="AH59" s="81"/>
    </row>
    <row r="60" spans="1:34" s="12" customFormat="1" x14ac:dyDescent="0.25">
      <c r="A60" s="1"/>
      <c r="B60" s="53"/>
      <c r="C60" s="1"/>
      <c r="D60" s="1"/>
      <c r="E60" s="1"/>
      <c r="F60" s="18"/>
      <c r="G60" s="18"/>
      <c r="H60" s="18"/>
      <c r="I60" s="18"/>
      <c r="J60" s="18"/>
      <c r="K60" s="18"/>
      <c r="L60" s="18"/>
      <c r="M60" s="18"/>
      <c r="N60" s="18"/>
      <c r="O60" s="60"/>
      <c r="P60" s="60"/>
      <c r="Q60" s="60"/>
      <c r="R60" s="60"/>
      <c r="S60" s="60"/>
      <c r="T60" s="60"/>
      <c r="U60" s="60"/>
      <c r="V60" s="60"/>
      <c r="W60" s="60"/>
      <c r="X60" s="66"/>
      <c r="Y60" s="76"/>
      <c r="Z60" s="71"/>
      <c r="AA60" s="60"/>
      <c r="AB60" s="60"/>
      <c r="AC60" s="60"/>
      <c r="AD60" s="60"/>
      <c r="AE60" s="17"/>
      <c r="AF60" s="17"/>
      <c r="AG60" s="1"/>
      <c r="AH60" s="81"/>
    </row>
    <row r="61" spans="1:34" s="12" customFormat="1" x14ac:dyDescent="0.25">
      <c r="A61" s="1"/>
      <c r="B61" s="53"/>
      <c r="C61" s="1"/>
      <c r="D61" s="17"/>
      <c r="E61" s="17"/>
      <c r="F61" s="17"/>
      <c r="G61" s="17"/>
      <c r="H61" s="17"/>
      <c r="I61" s="17"/>
      <c r="J61" s="17"/>
      <c r="K61" s="17"/>
      <c r="L61" s="17"/>
      <c r="M61" s="17"/>
      <c r="N61" s="17"/>
      <c r="O61" s="61"/>
      <c r="P61" s="61"/>
      <c r="Q61" s="61"/>
      <c r="R61" s="61"/>
      <c r="S61" s="61"/>
      <c r="T61" s="61"/>
      <c r="U61" s="61"/>
      <c r="V61" s="61"/>
      <c r="W61" s="61"/>
      <c r="X61" s="67"/>
      <c r="Y61" s="77"/>
      <c r="Z61" s="72"/>
      <c r="AA61" s="61"/>
      <c r="AB61" s="61"/>
      <c r="AC61" s="61"/>
      <c r="AD61" s="61"/>
      <c r="AE61" s="17"/>
      <c r="AF61" s="17"/>
      <c r="AG61" s="1"/>
      <c r="AH61" s="81"/>
    </row>
    <row r="62" spans="1:34" x14ac:dyDescent="0.25">
      <c r="A62" s="1"/>
      <c r="C62" s="1"/>
      <c r="AG62" s="1"/>
      <c r="AH62" s="81"/>
    </row>
    <row r="63" spans="1:34" x14ac:dyDescent="0.25">
      <c r="A63" s="12" t="s">
        <v>232</v>
      </c>
      <c r="C63" s="1"/>
      <c r="AG63" s="1"/>
      <c r="AH63" s="81"/>
    </row>
    <row r="64" spans="1:34" x14ac:dyDescent="0.25">
      <c r="A64" s="1"/>
      <c r="C64" s="1"/>
      <c r="AG64" s="1"/>
      <c r="AH64" s="81"/>
    </row>
    <row r="65" spans="1:34" x14ac:dyDescent="0.25">
      <c r="A65" s="1" t="s">
        <v>1012</v>
      </c>
      <c r="C65" s="1" t="s">
        <v>1034</v>
      </c>
      <c r="D65" s="1" t="s">
        <v>1061</v>
      </c>
      <c r="F65" s="18" t="s">
        <v>1013</v>
      </c>
      <c r="I65" s="18">
        <v>10</v>
      </c>
      <c r="J65" s="18" t="s">
        <v>1196</v>
      </c>
      <c r="K65" s="18" t="s">
        <v>615</v>
      </c>
      <c r="M65" s="18">
        <v>20</v>
      </c>
      <c r="AG65" s="1" t="s">
        <v>1274</v>
      </c>
      <c r="AH65" s="81"/>
    </row>
    <row r="66" spans="1:34" x14ac:dyDescent="0.25">
      <c r="A66" s="1" t="s">
        <v>1015</v>
      </c>
      <c r="C66" s="1" t="s">
        <v>1034</v>
      </c>
      <c r="D66" s="1" t="s">
        <v>1061</v>
      </c>
      <c r="F66" s="18" t="s">
        <v>1016</v>
      </c>
      <c r="I66" s="18">
        <v>10</v>
      </c>
      <c r="J66" s="18" t="s">
        <v>1196</v>
      </c>
      <c r="K66" s="18" t="s">
        <v>615</v>
      </c>
      <c r="AG66" s="1" t="s">
        <v>1260</v>
      </c>
      <c r="AH66" s="81"/>
    </row>
    <row r="67" spans="1:34" x14ac:dyDescent="0.25">
      <c r="A67" s="1" t="s">
        <v>1017</v>
      </c>
      <c r="C67" s="1" t="s">
        <v>1034</v>
      </c>
      <c r="D67" s="1" t="s">
        <v>1061</v>
      </c>
      <c r="F67" s="1" t="s">
        <v>719</v>
      </c>
      <c r="I67" s="18">
        <v>10</v>
      </c>
      <c r="J67" s="18" t="s">
        <v>1196</v>
      </c>
      <c r="K67" s="18" t="s">
        <v>615</v>
      </c>
      <c r="AG67" s="1" t="s">
        <v>1274</v>
      </c>
      <c r="AH67" s="81"/>
    </row>
    <row r="68" spans="1:34" x14ac:dyDescent="0.25">
      <c r="A68" s="1" t="s">
        <v>1089</v>
      </c>
      <c r="C68" s="1" t="s">
        <v>1034</v>
      </c>
      <c r="D68" s="1" t="s">
        <v>1061</v>
      </c>
      <c r="F68" s="1" t="s">
        <v>1090</v>
      </c>
      <c r="I68" s="18">
        <v>10</v>
      </c>
      <c r="J68" s="18" t="s">
        <v>1196</v>
      </c>
      <c r="K68" s="18" t="s">
        <v>615</v>
      </c>
      <c r="AG68" s="1" t="s">
        <v>1274</v>
      </c>
      <c r="AH68" s="81"/>
    </row>
    <row r="69" spans="1:34" x14ac:dyDescent="0.25">
      <c r="A69" s="1" t="s">
        <v>1010</v>
      </c>
      <c r="C69" s="1" t="s">
        <v>1034</v>
      </c>
      <c r="D69" s="1" t="s">
        <v>1061</v>
      </c>
      <c r="F69" s="18" t="s">
        <v>705</v>
      </c>
      <c r="I69" s="18">
        <v>1</v>
      </c>
      <c r="J69" s="18" t="s">
        <v>1194</v>
      </c>
      <c r="AG69" s="1" t="s">
        <v>1274</v>
      </c>
      <c r="AH69" s="81"/>
    </row>
    <row r="70" spans="1:34" x14ac:dyDescent="0.25">
      <c r="A70" s="1" t="s">
        <v>1011</v>
      </c>
      <c r="C70" s="1" t="s">
        <v>1034</v>
      </c>
      <c r="D70" s="1" t="s">
        <v>1061</v>
      </c>
      <c r="F70" s="18" t="s">
        <v>722</v>
      </c>
      <c r="I70" s="18">
        <v>0.5</v>
      </c>
      <c r="J70" s="18" t="s">
        <v>1198</v>
      </c>
      <c r="AG70" s="1" t="s">
        <v>1274</v>
      </c>
      <c r="AH70" s="81"/>
    </row>
    <row r="71" spans="1:34" x14ac:dyDescent="0.25">
      <c r="A71" s="1" t="s">
        <v>1091</v>
      </c>
      <c r="C71" s="1" t="s">
        <v>1034</v>
      </c>
      <c r="D71" s="1" t="s">
        <v>1061</v>
      </c>
      <c r="F71" s="1" t="s">
        <v>321</v>
      </c>
      <c r="I71" s="18">
        <v>1</v>
      </c>
      <c r="J71" s="18" t="s">
        <v>1198</v>
      </c>
      <c r="AG71" s="1" t="s">
        <v>1263</v>
      </c>
      <c r="AH71" s="81"/>
    </row>
    <row r="72" spans="1:34" x14ac:dyDescent="0.25">
      <c r="A72" s="1"/>
      <c r="C72" s="1"/>
      <c r="F72" s="1"/>
      <c r="AG72" s="1"/>
      <c r="AH72" s="81"/>
    </row>
    <row r="73" spans="1:34" x14ac:dyDescent="0.25">
      <c r="A73" s="1"/>
      <c r="C73" s="1"/>
      <c r="F73" s="1"/>
      <c r="G73" s="1"/>
      <c r="H73" s="1"/>
      <c r="J73" s="1"/>
      <c r="K73" s="1"/>
      <c r="L73" s="1"/>
      <c r="M73" s="1"/>
      <c r="AG73" s="1"/>
      <c r="AH73" s="81"/>
    </row>
    <row r="74" spans="1:34" x14ac:dyDescent="0.25">
      <c r="A74" s="12" t="s">
        <v>1093</v>
      </c>
      <c r="C74" s="1"/>
      <c r="F74" s="1"/>
      <c r="G74" s="1"/>
      <c r="H74" s="1"/>
      <c r="J74" s="1"/>
      <c r="K74" s="1"/>
      <c r="L74" s="1"/>
      <c r="M74" s="1"/>
      <c r="AG74" s="1"/>
      <c r="AH74" s="81"/>
    </row>
    <row r="75" spans="1:34" x14ac:dyDescent="0.25">
      <c r="A75" s="27"/>
      <c r="C75" s="1"/>
      <c r="F75" s="1"/>
      <c r="G75" s="1"/>
      <c r="H75" s="1"/>
      <c r="J75" s="1"/>
      <c r="K75" s="1"/>
      <c r="L75" s="1"/>
      <c r="M75" s="1"/>
      <c r="AG75" s="1"/>
      <c r="AH75" s="81"/>
    </row>
    <row r="76" spans="1:34" x14ac:dyDescent="0.25">
      <c r="A76" s="1" t="s">
        <v>997</v>
      </c>
      <c r="C76" s="1" t="s">
        <v>1032</v>
      </c>
      <c r="D76" s="1" t="s">
        <v>1092</v>
      </c>
      <c r="F76" s="27" t="s">
        <v>587</v>
      </c>
      <c r="G76" s="1"/>
      <c r="H76" s="1"/>
      <c r="I76" s="17">
        <v>100</v>
      </c>
      <c r="J76" s="18" t="s">
        <v>1118</v>
      </c>
      <c r="K76" s="18" t="s">
        <v>615</v>
      </c>
      <c r="M76" s="18">
        <v>50</v>
      </c>
      <c r="AG76" s="1" t="s">
        <v>1264</v>
      </c>
      <c r="AH76" s="81"/>
    </row>
    <row r="77" spans="1:34" x14ac:dyDescent="0.25">
      <c r="A77" s="1" t="s">
        <v>993</v>
      </c>
      <c r="C77" s="1" t="s">
        <v>1032</v>
      </c>
      <c r="D77" s="1" t="s">
        <v>1092</v>
      </c>
      <c r="F77" s="1" t="s">
        <v>591</v>
      </c>
      <c r="I77" s="18">
        <v>10</v>
      </c>
      <c r="J77" s="18" t="s">
        <v>1196</v>
      </c>
      <c r="K77" s="18" t="s">
        <v>615</v>
      </c>
      <c r="M77" s="18">
        <v>10</v>
      </c>
      <c r="AG77" s="1" t="s">
        <v>1274</v>
      </c>
      <c r="AH77" s="81"/>
    </row>
    <row r="78" spans="1:34" x14ac:dyDescent="0.25">
      <c r="A78" s="1" t="s">
        <v>994</v>
      </c>
      <c r="C78" s="1" t="s">
        <v>1032</v>
      </c>
      <c r="D78" s="1" t="s">
        <v>1092</v>
      </c>
      <c r="F78" s="18" t="s">
        <v>589</v>
      </c>
      <c r="I78" s="18">
        <v>10</v>
      </c>
      <c r="J78" s="18" t="s">
        <v>1196</v>
      </c>
      <c r="K78" s="18" t="s">
        <v>615</v>
      </c>
      <c r="M78" s="18">
        <v>1</v>
      </c>
      <c r="AG78" s="1" t="s">
        <v>1274</v>
      </c>
      <c r="AH78" s="81"/>
    </row>
    <row r="79" spans="1:34" x14ac:dyDescent="0.25">
      <c r="A79" s="1"/>
      <c r="C79" s="1"/>
      <c r="AG79" s="1"/>
      <c r="AH79" s="81"/>
    </row>
    <row r="80" spans="1:34" x14ac:dyDescent="0.25">
      <c r="A80" s="1"/>
      <c r="C80" s="1"/>
      <c r="F80" s="1"/>
      <c r="AG80" s="1"/>
      <c r="AH80" s="81"/>
    </row>
    <row r="81" spans="1:34" x14ac:dyDescent="0.25">
      <c r="A81" s="1" t="s">
        <v>995</v>
      </c>
      <c r="C81" s="1" t="s">
        <v>1032</v>
      </c>
      <c r="D81" s="1" t="s">
        <v>1092</v>
      </c>
      <c r="F81" s="18" t="s">
        <v>739</v>
      </c>
      <c r="I81" s="18">
        <v>1</v>
      </c>
      <c r="J81" s="18" t="s">
        <v>1194</v>
      </c>
      <c r="AG81" s="1" t="s">
        <v>1274</v>
      </c>
      <c r="AH81" s="81"/>
    </row>
    <row r="82" spans="1:34" x14ac:dyDescent="0.25">
      <c r="A82" s="1" t="s">
        <v>998</v>
      </c>
      <c r="C82" s="1" t="s">
        <v>1032</v>
      </c>
      <c r="D82" s="1" t="s">
        <v>1092</v>
      </c>
      <c r="F82" s="18" t="s">
        <v>996</v>
      </c>
      <c r="I82" s="18">
        <v>1</v>
      </c>
      <c r="J82" s="18" t="s">
        <v>1194</v>
      </c>
      <c r="AG82" s="1" t="s">
        <v>1274</v>
      </c>
      <c r="AH82" s="81"/>
    </row>
    <row r="83" spans="1:34" x14ac:dyDescent="0.25">
      <c r="A83" s="1" t="s">
        <v>999</v>
      </c>
      <c r="C83" s="1" t="s">
        <v>1032</v>
      </c>
      <c r="D83" s="1" t="s">
        <v>1092</v>
      </c>
      <c r="F83" s="18" t="s">
        <v>523</v>
      </c>
      <c r="I83" s="18">
        <v>1</v>
      </c>
      <c r="J83" s="18" t="s">
        <v>1194</v>
      </c>
      <c r="AG83" s="1" t="s">
        <v>1274</v>
      </c>
      <c r="AH83" s="81"/>
    </row>
    <row r="84" spans="1:34" x14ac:dyDescent="0.25">
      <c r="A84" s="1" t="s">
        <v>1000</v>
      </c>
      <c r="C84" s="1" t="s">
        <v>1032</v>
      </c>
      <c r="D84" s="1" t="s">
        <v>1092</v>
      </c>
      <c r="F84" s="18" t="s">
        <v>726</v>
      </c>
      <c r="I84" s="18">
        <v>1</v>
      </c>
      <c r="J84" s="18" t="s">
        <v>1194</v>
      </c>
      <c r="AG84" s="1" t="s">
        <v>1274</v>
      </c>
      <c r="AH84" s="81"/>
    </row>
    <row r="85" spans="1:34" x14ac:dyDescent="0.25">
      <c r="A85" s="1"/>
      <c r="C85" s="1"/>
      <c r="AG85" s="1"/>
      <c r="AH85" s="81"/>
    </row>
    <row r="86" spans="1:34" x14ac:dyDescent="0.25">
      <c r="A86" s="1" t="s">
        <v>1109</v>
      </c>
      <c r="C86" s="1" t="s">
        <v>1032</v>
      </c>
      <c r="D86" s="1" t="s">
        <v>1060</v>
      </c>
      <c r="F86" s="18" t="s">
        <v>725</v>
      </c>
      <c r="I86" s="18">
        <v>10</v>
      </c>
      <c r="J86" s="18" t="s">
        <v>1196</v>
      </c>
      <c r="K86" s="18" t="s">
        <v>615</v>
      </c>
      <c r="M86" s="18">
        <v>20</v>
      </c>
      <c r="AG86" s="1" t="s">
        <v>1265</v>
      </c>
      <c r="AH86" s="81"/>
    </row>
    <row r="87" spans="1:34" x14ac:dyDescent="0.25">
      <c r="A87" s="1" t="s">
        <v>1110</v>
      </c>
      <c r="C87" s="1" t="s">
        <v>1032</v>
      </c>
      <c r="D87" s="1" t="s">
        <v>1060</v>
      </c>
      <c r="F87" s="18" t="s">
        <v>737</v>
      </c>
      <c r="I87" s="18">
        <v>10</v>
      </c>
      <c r="J87" s="18" t="s">
        <v>1196</v>
      </c>
      <c r="AG87" s="1" t="s">
        <v>1274</v>
      </c>
      <c r="AH87" s="81"/>
    </row>
    <row r="88" spans="1:34" x14ac:dyDescent="0.25">
      <c r="A88" s="1" t="s">
        <v>1111</v>
      </c>
      <c r="C88" s="1" t="s">
        <v>1032</v>
      </c>
      <c r="D88" s="1" t="s">
        <v>1060</v>
      </c>
      <c r="F88" s="18" t="s">
        <v>1001</v>
      </c>
      <c r="I88" s="18">
        <v>10</v>
      </c>
      <c r="J88" s="18" t="s">
        <v>1196</v>
      </c>
      <c r="AG88" s="1" t="s">
        <v>1274</v>
      </c>
      <c r="AH88" s="81"/>
    </row>
    <row r="89" spans="1:34" x14ac:dyDescent="0.25">
      <c r="A89" s="1" t="s">
        <v>1112</v>
      </c>
      <c r="C89" s="1" t="s">
        <v>1032</v>
      </c>
      <c r="D89" s="1" t="s">
        <v>1060</v>
      </c>
      <c r="F89" s="18" t="s">
        <v>1002</v>
      </c>
      <c r="I89" s="18">
        <v>10</v>
      </c>
      <c r="J89" s="18" t="s">
        <v>1196</v>
      </c>
      <c r="AG89" s="1" t="s">
        <v>1274</v>
      </c>
      <c r="AH89" s="81"/>
    </row>
    <row r="90" spans="1:34" x14ac:dyDescent="0.25">
      <c r="A90" s="1"/>
      <c r="C90" s="1"/>
      <c r="AG90" s="1"/>
      <c r="AH90" s="81"/>
    </row>
    <row r="91" spans="1:34" x14ac:dyDescent="0.25">
      <c r="A91" s="1"/>
      <c r="B91" s="1"/>
      <c r="C91" s="1"/>
      <c r="F91" s="1"/>
      <c r="AG91" s="1" t="s">
        <v>1274</v>
      </c>
      <c r="AH91" s="81"/>
    </row>
    <row r="92" spans="1:34" x14ac:dyDescent="0.25">
      <c r="A92" s="1" t="s">
        <v>1014</v>
      </c>
      <c r="C92" s="1" t="s">
        <v>1032</v>
      </c>
      <c r="D92" s="1" t="s">
        <v>1096</v>
      </c>
      <c r="F92" s="18" t="s">
        <v>738</v>
      </c>
      <c r="I92" s="18">
        <v>10</v>
      </c>
      <c r="J92" s="18" t="s">
        <v>1196</v>
      </c>
      <c r="K92" s="18" t="s">
        <v>615</v>
      </c>
      <c r="M92" s="18">
        <v>20</v>
      </c>
      <c r="AG92" s="1" t="s">
        <v>1274</v>
      </c>
      <c r="AH92" s="81"/>
    </row>
    <row r="93" spans="1:34" x14ac:dyDescent="0.25">
      <c r="A93" s="1"/>
      <c r="B93" s="1"/>
      <c r="C93" s="1"/>
      <c r="F93" s="1"/>
      <c r="G93" s="1"/>
      <c r="H93" s="1"/>
      <c r="J93" s="1"/>
      <c r="K93" s="1"/>
      <c r="L93" s="1"/>
      <c r="M93" s="1"/>
      <c r="N93" s="1"/>
      <c r="AG93" s="1"/>
      <c r="AH93" s="81"/>
    </row>
    <row r="95" spans="1:34" x14ac:dyDescent="0.25">
      <c r="A95" s="1"/>
      <c r="C95" s="1"/>
      <c r="D95" s="17"/>
      <c r="E95" s="17"/>
      <c r="F95" s="17"/>
      <c r="G95" s="17"/>
      <c r="H95" s="17"/>
      <c r="I95" s="17"/>
      <c r="J95" s="17"/>
      <c r="K95" s="17"/>
      <c r="L95" s="17"/>
      <c r="M95" s="17"/>
      <c r="N95" s="17"/>
      <c r="O95" s="61"/>
      <c r="P95" s="61"/>
      <c r="Q95" s="61"/>
      <c r="R95" s="61"/>
      <c r="S95" s="61"/>
      <c r="T95" s="61"/>
      <c r="U95" s="61"/>
      <c r="V95" s="61"/>
      <c r="W95" s="61"/>
      <c r="X95" s="67"/>
      <c r="Y95" s="77"/>
      <c r="Z95" s="72"/>
      <c r="AA95" s="61"/>
      <c r="AB95" s="61"/>
      <c r="AC95" s="61"/>
      <c r="AD95" s="61"/>
      <c r="AE95" s="17"/>
      <c r="AF95" s="17"/>
      <c r="AG95" s="1"/>
      <c r="AH95" s="81"/>
    </row>
    <row r="96" spans="1:34" x14ac:dyDescent="0.25">
      <c r="A96" s="12" t="s">
        <v>992</v>
      </c>
      <c r="C96" s="1"/>
      <c r="AG96" s="1"/>
      <c r="AH96" s="81"/>
    </row>
    <row r="97" spans="1:34" x14ac:dyDescent="0.25">
      <c r="A97" s="1"/>
      <c r="C97" s="1"/>
      <c r="AG97" s="1"/>
      <c r="AH97" s="81"/>
    </row>
    <row r="98" spans="1:34" x14ac:dyDescent="0.25">
      <c r="A98" s="1"/>
      <c r="C98" s="1"/>
      <c r="AG98" s="1"/>
      <c r="AH98" s="81"/>
    </row>
    <row r="99" spans="1:34" x14ac:dyDescent="0.25">
      <c r="A99" s="1" t="s">
        <v>985</v>
      </c>
      <c r="C99" s="1" t="s">
        <v>1036</v>
      </c>
      <c r="D99" s="1" t="s">
        <v>1058</v>
      </c>
      <c r="F99" s="17" t="s">
        <v>1003</v>
      </c>
      <c r="G99" s="17"/>
      <c r="H99" s="17"/>
      <c r="I99" s="18">
        <v>1</v>
      </c>
      <c r="J99" s="18" t="s">
        <v>1194</v>
      </c>
      <c r="K99" s="18" t="s">
        <v>615</v>
      </c>
      <c r="N99" s="17"/>
      <c r="O99" s="61"/>
      <c r="P99" s="61"/>
      <c r="Q99" s="61"/>
      <c r="R99" s="61"/>
      <c r="S99" s="61"/>
      <c r="T99" s="61"/>
      <c r="U99" s="61"/>
      <c r="V99" s="61"/>
      <c r="W99" s="61"/>
      <c r="X99" s="66">
        <v>0.1</v>
      </c>
      <c r="Y99" s="76">
        <v>0.2</v>
      </c>
      <c r="Z99" s="71">
        <v>0.5</v>
      </c>
      <c r="AA99" s="60">
        <v>1</v>
      </c>
      <c r="AB99" s="60">
        <v>1.5</v>
      </c>
      <c r="AC99" s="60">
        <v>2</v>
      </c>
      <c r="AD99" s="60">
        <v>2.5</v>
      </c>
      <c r="AG99" s="1" t="s">
        <v>1269</v>
      </c>
      <c r="AH99" s="81"/>
    </row>
    <row r="100" spans="1:34" x14ac:dyDescent="0.25">
      <c r="A100" s="1" t="s">
        <v>984</v>
      </c>
      <c r="C100" s="1" t="s">
        <v>1036</v>
      </c>
      <c r="D100" s="1" t="s">
        <v>1058</v>
      </c>
      <c r="F100" s="1" t="s">
        <v>1004</v>
      </c>
      <c r="G100" s="1"/>
      <c r="H100" s="1"/>
      <c r="I100" s="18">
        <v>1</v>
      </c>
      <c r="J100" s="18" t="s">
        <v>1194</v>
      </c>
      <c r="K100" s="1"/>
      <c r="L100" s="1"/>
      <c r="M100" s="1"/>
      <c r="N100" s="1"/>
      <c r="AG100" s="1" t="s">
        <v>1274</v>
      </c>
      <c r="AH100" s="81"/>
    </row>
    <row r="101" spans="1:34" x14ac:dyDescent="0.25">
      <c r="A101" s="1" t="s">
        <v>983</v>
      </c>
      <c r="C101" s="1" t="s">
        <v>1036</v>
      </c>
      <c r="D101" s="1" t="s">
        <v>1058</v>
      </c>
      <c r="F101" s="1" t="s">
        <v>1005</v>
      </c>
      <c r="G101" s="1"/>
      <c r="H101" s="1"/>
      <c r="I101" s="18">
        <v>0.1</v>
      </c>
      <c r="J101" s="1"/>
      <c r="K101" s="1"/>
      <c r="L101" s="1"/>
      <c r="M101" s="1"/>
      <c r="N101" s="1"/>
      <c r="AG101" s="1" t="s">
        <v>1259</v>
      </c>
      <c r="AH101" s="81"/>
    </row>
    <row r="102" spans="1:34" x14ac:dyDescent="0.25">
      <c r="A102" s="1"/>
      <c r="C102" s="1"/>
      <c r="F102" s="1"/>
      <c r="G102" s="1"/>
      <c r="H102" s="1"/>
      <c r="J102" s="1"/>
      <c r="K102" s="1"/>
      <c r="L102" s="1"/>
      <c r="M102" s="1"/>
      <c r="N102" s="1"/>
      <c r="AG102" s="1"/>
      <c r="AH102" s="81"/>
    </row>
    <row r="103" spans="1:34" x14ac:dyDescent="0.25">
      <c r="A103" s="1"/>
      <c r="C103" s="1"/>
      <c r="AG103" s="1"/>
      <c r="AH103" s="81"/>
    </row>
    <row r="104" spans="1:34" x14ac:dyDescent="0.25">
      <c r="A104" s="1" t="s">
        <v>986</v>
      </c>
      <c r="C104" s="1" t="s">
        <v>1036</v>
      </c>
      <c r="D104" s="1" t="s">
        <v>1059</v>
      </c>
      <c r="F104" s="17" t="s">
        <v>1006</v>
      </c>
      <c r="G104" s="17"/>
      <c r="H104" s="17"/>
      <c r="I104" s="17">
        <v>5</v>
      </c>
      <c r="J104" s="17" t="s">
        <v>1197</v>
      </c>
      <c r="K104" s="18" t="s">
        <v>615</v>
      </c>
      <c r="N104" s="17"/>
      <c r="O104" s="61"/>
      <c r="P104" s="61"/>
      <c r="Q104" s="61"/>
      <c r="R104" s="61"/>
      <c r="S104" s="61"/>
      <c r="T104" s="61"/>
      <c r="U104" s="61">
        <v>0.01</v>
      </c>
      <c r="V104" s="61">
        <v>0.05</v>
      </c>
      <c r="W104" s="61">
        <v>0.1</v>
      </c>
      <c r="X104" s="66">
        <v>1</v>
      </c>
      <c r="Y104" s="76">
        <v>1</v>
      </c>
      <c r="Z104" s="71">
        <v>0.5</v>
      </c>
      <c r="AA104" s="60">
        <v>0.5</v>
      </c>
      <c r="AB104" s="60">
        <v>0.5</v>
      </c>
      <c r="AC104" s="60">
        <v>0.5</v>
      </c>
      <c r="AD104" s="60">
        <v>0.5</v>
      </c>
      <c r="AG104" s="1" t="s">
        <v>1270</v>
      </c>
      <c r="AH104" s="81"/>
    </row>
    <row r="105" spans="1:34" x14ac:dyDescent="0.25">
      <c r="A105" s="1" t="s">
        <v>990</v>
      </c>
      <c r="C105" s="1" t="s">
        <v>1036</v>
      </c>
      <c r="D105" s="1" t="s">
        <v>1059</v>
      </c>
      <c r="F105" s="17" t="s">
        <v>1007</v>
      </c>
      <c r="G105" s="17"/>
      <c r="H105" s="17"/>
      <c r="I105" s="17">
        <v>4</v>
      </c>
      <c r="J105" s="17" t="s">
        <v>1197</v>
      </c>
      <c r="K105" s="17"/>
      <c r="L105" s="17"/>
      <c r="M105" s="17"/>
      <c r="N105" s="17"/>
      <c r="O105" s="61"/>
      <c r="P105" s="61"/>
      <c r="Q105" s="61"/>
      <c r="R105" s="61"/>
      <c r="S105" s="61"/>
      <c r="T105" s="61"/>
      <c r="U105" s="61"/>
      <c r="V105" s="61"/>
      <c r="W105" s="61"/>
      <c r="X105" s="66">
        <v>0</v>
      </c>
      <c r="Y105" s="76">
        <v>0</v>
      </c>
      <c r="Z105" s="71">
        <v>0.5</v>
      </c>
      <c r="AA105" s="60">
        <v>0.8</v>
      </c>
      <c r="AB105" s="60">
        <v>1</v>
      </c>
      <c r="AC105" s="60">
        <v>1.25</v>
      </c>
      <c r="AD105" s="60">
        <v>1.5</v>
      </c>
      <c r="AG105" s="1" t="s">
        <v>1271</v>
      </c>
      <c r="AH105" s="81"/>
    </row>
    <row r="106" spans="1:34" x14ac:dyDescent="0.25">
      <c r="A106" s="1" t="s">
        <v>987</v>
      </c>
      <c r="C106" s="1" t="s">
        <v>1036</v>
      </c>
      <c r="D106" s="1" t="s">
        <v>1059</v>
      </c>
      <c r="F106" s="17" t="s">
        <v>1008</v>
      </c>
      <c r="G106" s="17"/>
      <c r="H106" s="17"/>
      <c r="I106" s="17">
        <v>3</v>
      </c>
      <c r="J106" s="17" t="s">
        <v>1197</v>
      </c>
      <c r="K106" s="17"/>
      <c r="L106" s="17"/>
      <c r="M106" s="17"/>
      <c r="N106" s="17"/>
      <c r="O106" s="61"/>
      <c r="P106" s="61"/>
      <c r="Q106" s="61"/>
      <c r="R106" s="61"/>
      <c r="S106" s="61"/>
      <c r="T106" s="61"/>
      <c r="U106" s="61"/>
      <c r="V106" s="61"/>
      <c r="W106" s="61"/>
      <c r="X106" s="66">
        <v>0</v>
      </c>
      <c r="Y106" s="76">
        <v>0</v>
      </c>
      <c r="Z106" s="71">
        <v>0</v>
      </c>
      <c r="AA106" s="60">
        <v>0.5</v>
      </c>
      <c r="AB106" s="60">
        <v>1</v>
      </c>
      <c r="AC106" s="60">
        <v>1.25</v>
      </c>
      <c r="AD106" s="60">
        <v>1.5</v>
      </c>
      <c r="AG106" s="1" t="s">
        <v>1275</v>
      </c>
      <c r="AH106" s="81"/>
    </row>
    <row r="107" spans="1:34" x14ac:dyDescent="0.25">
      <c r="A107" s="1" t="s">
        <v>988</v>
      </c>
      <c r="C107" s="1" t="s">
        <v>1036</v>
      </c>
      <c r="D107" s="1" t="s">
        <v>1059</v>
      </c>
      <c r="F107" s="17" t="s">
        <v>1009</v>
      </c>
      <c r="G107" s="17"/>
      <c r="H107" s="17"/>
      <c r="I107" s="17">
        <v>2</v>
      </c>
      <c r="J107" s="17" t="s">
        <v>1197</v>
      </c>
      <c r="K107" s="17"/>
      <c r="L107" s="17"/>
      <c r="M107" s="17"/>
      <c r="N107" s="17"/>
      <c r="O107" s="61"/>
      <c r="P107" s="61"/>
      <c r="Q107" s="61"/>
      <c r="R107" s="61"/>
      <c r="S107" s="61"/>
      <c r="T107" s="61"/>
      <c r="U107" s="61"/>
      <c r="V107" s="61"/>
      <c r="W107" s="61"/>
      <c r="X107" s="66">
        <v>0</v>
      </c>
      <c r="Y107" s="76">
        <v>0</v>
      </c>
      <c r="Z107" s="71">
        <v>0</v>
      </c>
      <c r="AA107" s="60">
        <v>0</v>
      </c>
      <c r="AB107" s="60">
        <v>0.5</v>
      </c>
      <c r="AC107" s="60">
        <v>1</v>
      </c>
      <c r="AD107" s="60">
        <v>1.25</v>
      </c>
      <c r="AG107" s="1" t="s">
        <v>1274</v>
      </c>
      <c r="AH107" s="81"/>
    </row>
    <row r="108" spans="1:34" x14ac:dyDescent="0.25">
      <c r="A108" s="1" t="s">
        <v>989</v>
      </c>
      <c r="C108" s="1" t="s">
        <v>1036</v>
      </c>
      <c r="D108" s="1" t="s">
        <v>1059</v>
      </c>
      <c r="F108" s="17" t="s">
        <v>1199</v>
      </c>
      <c r="G108" s="17"/>
      <c r="H108" s="17"/>
      <c r="I108" s="17">
        <v>1</v>
      </c>
      <c r="J108" s="17" t="s">
        <v>1197</v>
      </c>
      <c r="K108" s="17"/>
      <c r="L108" s="17"/>
      <c r="M108" s="17"/>
      <c r="N108" s="17"/>
      <c r="O108" s="61"/>
      <c r="P108" s="61"/>
      <c r="Q108" s="61"/>
      <c r="R108" s="61"/>
      <c r="S108" s="61"/>
      <c r="T108" s="61"/>
      <c r="U108" s="61"/>
      <c r="V108" s="61"/>
      <c r="W108" s="61"/>
      <c r="X108" s="66">
        <v>0</v>
      </c>
      <c r="Y108" s="76">
        <v>0</v>
      </c>
      <c r="Z108" s="71">
        <v>0</v>
      </c>
      <c r="AA108" s="60">
        <v>0</v>
      </c>
      <c r="AB108" s="60">
        <v>0</v>
      </c>
      <c r="AC108" s="60">
        <v>0.1</v>
      </c>
      <c r="AD108" s="60">
        <v>0.5</v>
      </c>
      <c r="AG108" s="1" t="s">
        <v>1274</v>
      </c>
      <c r="AH108" s="81"/>
    </row>
    <row r="109" spans="1:34" x14ac:dyDescent="0.25">
      <c r="A109" s="1"/>
      <c r="C109" s="1"/>
      <c r="F109" s="17"/>
      <c r="G109" s="17"/>
      <c r="H109" s="17"/>
      <c r="I109" s="17"/>
      <c r="J109" s="17"/>
      <c r="K109" s="17"/>
      <c r="L109" s="17"/>
      <c r="M109" s="17"/>
      <c r="N109" s="17"/>
      <c r="O109" s="61"/>
      <c r="P109" s="61"/>
      <c r="Q109" s="61"/>
      <c r="R109" s="61"/>
      <c r="S109" s="61"/>
      <c r="T109" s="61"/>
      <c r="U109" s="61"/>
      <c r="V109" s="61"/>
      <c r="W109" s="61"/>
      <c r="AG109" s="1"/>
      <c r="AH109" s="81"/>
    </row>
    <row r="110" spans="1:34" x14ac:dyDescent="0.25">
      <c r="A110" s="1"/>
      <c r="C110" s="1"/>
      <c r="F110" s="17"/>
      <c r="G110" s="17"/>
      <c r="H110" s="17"/>
      <c r="I110" s="17"/>
      <c r="J110" s="17"/>
      <c r="K110" s="17"/>
      <c r="L110" s="17"/>
      <c r="M110" s="17"/>
      <c r="N110" s="17"/>
      <c r="O110" s="61"/>
      <c r="P110" s="61"/>
      <c r="Q110" s="61"/>
      <c r="R110" s="61"/>
      <c r="S110" s="61"/>
      <c r="T110" s="61"/>
      <c r="U110" s="61"/>
      <c r="V110" s="61"/>
      <c r="W110" s="61"/>
      <c r="AG110" s="1"/>
      <c r="AH110" s="81"/>
    </row>
    <row r="111" spans="1:34" x14ac:dyDescent="0.25">
      <c r="A111" s="12" t="s">
        <v>1099</v>
      </c>
      <c r="C111" s="1"/>
      <c r="F111" s="17"/>
      <c r="G111" s="17"/>
      <c r="H111" s="17"/>
      <c r="I111" s="17"/>
      <c r="J111" s="17"/>
      <c r="K111" s="17"/>
      <c r="L111" s="17"/>
      <c r="M111" s="17"/>
      <c r="N111" s="17"/>
      <c r="O111" s="61"/>
      <c r="P111" s="61"/>
      <c r="Q111" s="61"/>
      <c r="R111" s="61"/>
      <c r="S111" s="61"/>
      <c r="T111" s="61"/>
      <c r="U111" s="61"/>
      <c r="V111" s="61"/>
      <c r="W111" s="61"/>
      <c r="AG111" s="1"/>
      <c r="AH111" s="81"/>
    </row>
    <row r="112" spans="1:34" x14ac:dyDescent="0.25">
      <c r="A112" s="1"/>
      <c r="C112" s="1"/>
      <c r="F112" s="17"/>
      <c r="G112" s="17"/>
      <c r="H112" s="17"/>
      <c r="I112" s="17"/>
      <c r="J112" s="17"/>
      <c r="K112" s="17"/>
      <c r="L112" s="17"/>
      <c r="M112" s="17"/>
      <c r="N112" s="17"/>
      <c r="O112" s="61"/>
      <c r="P112" s="61"/>
      <c r="Q112" s="61"/>
      <c r="R112" s="61"/>
      <c r="S112" s="61"/>
      <c r="T112" s="61"/>
      <c r="U112" s="61"/>
      <c r="V112" s="61"/>
      <c r="W112" s="61"/>
      <c r="AG112" s="1"/>
      <c r="AH112" s="81"/>
    </row>
    <row r="113" spans="1:34" x14ac:dyDescent="0.25">
      <c r="A113" s="12" t="s">
        <v>1023</v>
      </c>
      <c r="C113" s="1"/>
      <c r="F113" s="17"/>
      <c r="G113" s="17"/>
      <c r="H113" s="17"/>
      <c r="I113" s="17"/>
      <c r="J113" s="17"/>
      <c r="K113" s="17"/>
      <c r="L113" s="17"/>
      <c r="M113" s="17"/>
      <c r="N113" s="17"/>
      <c r="O113" s="61"/>
      <c r="P113" s="61"/>
      <c r="Q113" s="61"/>
      <c r="R113" s="61"/>
      <c r="S113" s="61"/>
      <c r="T113" s="61"/>
      <c r="U113" s="61"/>
      <c r="V113" s="61"/>
      <c r="W113" s="61"/>
      <c r="AG113" s="1"/>
      <c r="AH113" s="81"/>
    </row>
    <row r="114" spans="1:34" x14ac:dyDescent="0.25">
      <c r="A114" s="1"/>
      <c r="C114" s="1"/>
      <c r="F114" s="1"/>
      <c r="G114" s="1"/>
      <c r="H114" s="1"/>
      <c r="J114" s="1"/>
      <c r="K114" s="1"/>
      <c r="L114" s="1"/>
      <c r="M114" s="1"/>
      <c r="N114" s="1"/>
      <c r="AG114" s="1"/>
      <c r="AH114" s="81"/>
    </row>
    <row r="115" spans="1:34" x14ac:dyDescent="0.25">
      <c r="A115" s="1" t="s">
        <v>1018</v>
      </c>
      <c r="C115" s="1" t="s">
        <v>1037</v>
      </c>
      <c r="D115" s="1" t="s">
        <v>420</v>
      </c>
      <c r="F115" s="18" t="s">
        <v>1019</v>
      </c>
      <c r="I115" s="18">
        <v>10</v>
      </c>
      <c r="J115" s="18" t="s">
        <v>1196</v>
      </c>
      <c r="AG115" s="1" t="s">
        <v>1267</v>
      </c>
      <c r="AH115" s="81"/>
    </row>
    <row r="116" spans="1:34" x14ac:dyDescent="0.25">
      <c r="A116" s="1" t="s">
        <v>965</v>
      </c>
      <c r="C116" s="1" t="s">
        <v>1037</v>
      </c>
      <c r="D116" s="1" t="s">
        <v>420</v>
      </c>
      <c r="F116" s="18" t="s">
        <v>889</v>
      </c>
      <c r="I116" s="18">
        <v>100</v>
      </c>
      <c r="J116" s="18" t="s">
        <v>1196</v>
      </c>
      <c r="AG116" s="1" t="s">
        <v>1268</v>
      </c>
      <c r="AH116" s="81"/>
    </row>
    <row r="117" spans="1:34" x14ac:dyDescent="0.25">
      <c r="C117" s="1"/>
      <c r="AG117" s="1"/>
      <c r="AH117" s="81"/>
    </row>
    <row r="118" spans="1:34" x14ac:dyDescent="0.25">
      <c r="A118" s="12" t="s">
        <v>1023</v>
      </c>
      <c r="C118" s="1"/>
      <c r="AG118" s="1"/>
      <c r="AH118" s="81"/>
    </row>
    <row r="119" spans="1:34" x14ac:dyDescent="0.25">
      <c r="C119" s="1"/>
      <c r="N119" s="21"/>
      <c r="O119" s="62"/>
      <c r="P119" s="62"/>
      <c r="Q119" s="62"/>
      <c r="R119" s="62"/>
      <c r="S119" s="62"/>
      <c r="T119" s="62"/>
      <c r="U119" s="62"/>
      <c r="V119" s="62"/>
      <c r="W119" s="62"/>
      <c r="AG119" s="1"/>
      <c r="AH119" s="81"/>
    </row>
    <row r="120" spans="1:34" x14ac:dyDescent="0.25">
      <c r="A120" s="1" t="s">
        <v>261</v>
      </c>
      <c r="C120" s="1" t="s">
        <v>1037</v>
      </c>
      <c r="D120" s="1" t="s">
        <v>1062</v>
      </c>
      <c r="F120" s="1" t="s">
        <v>732</v>
      </c>
      <c r="I120" s="18">
        <v>1</v>
      </c>
      <c r="J120" s="18" t="s">
        <v>1197</v>
      </c>
      <c r="AG120" s="1" t="s">
        <v>1274</v>
      </c>
      <c r="AH120" s="81"/>
    </row>
    <row r="121" spans="1:34" x14ac:dyDescent="0.25">
      <c r="A121" s="1" t="s">
        <v>262</v>
      </c>
      <c r="C121" s="1" t="s">
        <v>1037</v>
      </c>
      <c r="D121" s="1" t="s">
        <v>1062</v>
      </c>
      <c r="F121" s="1" t="s">
        <v>733</v>
      </c>
      <c r="I121" s="18">
        <v>1</v>
      </c>
      <c r="J121" s="18" t="s">
        <v>1197</v>
      </c>
      <c r="AG121" s="1" t="s">
        <v>1274</v>
      </c>
      <c r="AH121" s="81"/>
    </row>
    <row r="122" spans="1:34" x14ac:dyDescent="0.25">
      <c r="A122" s="1" t="s">
        <v>263</v>
      </c>
      <c r="C122" s="1" t="s">
        <v>1037</v>
      </c>
      <c r="D122" s="1" t="s">
        <v>1062</v>
      </c>
      <c r="F122" s="1" t="s">
        <v>734</v>
      </c>
      <c r="I122" s="18">
        <v>1</v>
      </c>
      <c r="J122" s="18" t="s">
        <v>1197</v>
      </c>
      <c r="AG122" s="1" t="s">
        <v>1274</v>
      </c>
      <c r="AH122" s="81"/>
    </row>
    <row r="123" spans="1:34" x14ac:dyDescent="0.25">
      <c r="A123" s="1"/>
      <c r="C123" s="1"/>
      <c r="F123" s="1"/>
      <c r="AG123" s="1"/>
      <c r="AH123" s="81"/>
    </row>
    <row r="124" spans="1:34" x14ac:dyDescent="0.25">
      <c r="A124" s="1"/>
      <c r="C124" s="1"/>
      <c r="F124" s="1"/>
      <c r="AG124" s="1"/>
      <c r="AH124" s="81"/>
    </row>
    <row r="126" spans="1:34" ht="15.75" thickBot="1" x14ac:dyDescent="0.3"/>
    <row r="127" spans="1:34" s="81" customFormat="1" ht="28.5" x14ac:dyDescent="0.45">
      <c r="A127" s="78" t="s">
        <v>190</v>
      </c>
      <c r="B127" s="79"/>
      <c r="C127" s="80"/>
      <c r="F127" s="82"/>
      <c r="G127" s="82"/>
      <c r="H127" s="82"/>
      <c r="I127" s="82"/>
      <c r="J127" s="82"/>
      <c r="K127" s="82"/>
      <c r="L127" s="82"/>
      <c r="M127" s="82"/>
      <c r="N127" s="82"/>
      <c r="O127" s="83"/>
      <c r="P127" s="83"/>
      <c r="Q127" s="83"/>
      <c r="R127" s="83"/>
      <c r="S127" s="83"/>
      <c r="T127" s="83"/>
      <c r="U127" s="83"/>
      <c r="V127" s="83"/>
      <c r="W127" s="83"/>
      <c r="X127" s="84"/>
      <c r="Y127" s="85"/>
      <c r="Z127" s="86"/>
      <c r="AA127" s="83"/>
      <c r="AB127" s="83"/>
      <c r="AC127" s="83"/>
      <c r="AD127" s="83"/>
      <c r="AG127" s="80"/>
      <c r="AH127" s="80"/>
    </row>
    <row r="129" spans="1:34" ht="23.25" x14ac:dyDescent="0.35">
      <c r="A129" s="1" t="s">
        <v>888</v>
      </c>
      <c r="M129" s="1" t="s">
        <v>888</v>
      </c>
      <c r="N129" s="164" t="s">
        <v>1115</v>
      </c>
      <c r="O129" s="59">
        <v>0</v>
      </c>
      <c r="P129" s="59">
        <v>1</v>
      </c>
      <c r="Q129" s="59">
        <v>2</v>
      </c>
      <c r="R129" s="59">
        <v>3</v>
      </c>
      <c r="S129" s="59">
        <v>4</v>
      </c>
      <c r="T129" s="59">
        <v>5</v>
      </c>
      <c r="U129" s="59">
        <v>6</v>
      </c>
      <c r="V129" s="59">
        <v>7</v>
      </c>
      <c r="W129" s="59">
        <v>8</v>
      </c>
      <c r="X129" s="64">
        <v>9</v>
      </c>
      <c r="Y129" s="74">
        <v>10</v>
      </c>
      <c r="Z129" s="69">
        <v>11</v>
      </c>
      <c r="AA129" s="59">
        <v>12</v>
      </c>
      <c r="AB129" s="59">
        <v>13</v>
      </c>
      <c r="AC129" s="59">
        <v>14</v>
      </c>
      <c r="AD129" s="59">
        <v>15</v>
      </c>
    </row>
    <row r="130" spans="1:34" x14ac:dyDescent="0.25">
      <c r="A130" s="1" t="s">
        <v>189</v>
      </c>
      <c r="M130" s="1" t="s">
        <v>189</v>
      </c>
      <c r="N130" s="165"/>
      <c r="O130" s="51" t="s">
        <v>1167</v>
      </c>
      <c r="P130" s="51" t="s">
        <v>1168</v>
      </c>
      <c r="Q130" s="51" t="s">
        <v>1169</v>
      </c>
      <c r="R130" s="51" t="s">
        <v>1170</v>
      </c>
      <c r="S130" s="51" t="s">
        <v>1171</v>
      </c>
      <c r="T130" s="51" t="s">
        <v>1172</v>
      </c>
      <c r="U130" s="51" t="s">
        <v>1173</v>
      </c>
      <c r="V130" s="51" t="s">
        <v>1174</v>
      </c>
      <c r="W130" s="51" t="s">
        <v>1175</v>
      </c>
      <c r="X130" s="65" t="s">
        <v>1163</v>
      </c>
      <c r="Y130" s="75" t="s">
        <v>387</v>
      </c>
      <c r="Z130" s="70" t="s">
        <v>388</v>
      </c>
      <c r="AA130" s="18" t="s">
        <v>389</v>
      </c>
      <c r="AB130" s="18" t="s">
        <v>390</v>
      </c>
      <c r="AC130" s="18" t="s">
        <v>1164</v>
      </c>
      <c r="AD130" s="18" t="s">
        <v>1165</v>
      </c>
    </row>
    <row r="132" spans="1:34" x14ac:dyDescent="0.25">
      <c r="A132" s="1"/>
      <c r="C132" s="1"/>
      <c r="AG132" s="1"/>
      <c r="AH132" s="81"/>
    </row>
    <row r="133" spans="1:34" x14ac:dyDescent="0.25">
      <c r="A133" s="1" t="s">
        <v>1120</v>
      </c>
      <c r="C133" s="1" t="s">
        <v>1029</v>
      </c>
      <c r="D133" s="1" t="s">
        <v>1053</v>
      </c>
      <c r="F133" s="18" t="s">
        <v>397</v>
      </c>
      <c r="K133" s="18" t="s">
        <v>615</v>
      </c>
      <c r="X133" s="66">
        <v>0.2</v>
      </c>
      <c r="Y133" s="76">
        <v>0.2</v>
      </c>
      <c r="Z133" s="71">
        <v>0.2</v>
      </c>
      <c r="AA133" s="60">
        <v>0.2</v>
      </c>
      <c r="AB133" s="60">
        <v>0.2</v>
      </c>
      <c r="AC133" s="60">
        <v>0.2</v>
      </c>
      <c r="AD133" s="60">
        <v>0.2</v>
      </c>
      <c r="AG133" s="1" t="s">
        <v>1274</v>
      </c>
      <c r="AH133" s="81"/>
    </row>
    <row r="134" spans="1:34" x14ac:dyDescent="0.25">
      <c r="A134" s="1" t="s">
        <v>1121</v>
      </c>
      <c r="C134" s="1" t="s">
        <v>1029</v>
      </c>
      <c r="D134" s="1" t="s">
        <v>1053</v>
      </c>
      <c r="F134" s="18" t="s">
        <v>398</v>
      </c>
      <c r="K134" s="18" t="s">
        <v>615</v>
      </c>
      <c r="X134" s="66">
        <v>0</v>
      </c>
      <c r="Y134" s="76">
        <v>0.2</v>
      </c>
      <c r="Z134" s="71">
        <v>0.2</v>
      </c>
      <c r="AA134" s="60">
        <v>0.2</v>
      </c>
      <c r="AB134" s="60">
        <v>0.2</v>
      </c>
      <c r="AC134" s="60">
        <v>0.2</v>
      </c>
      <c r="AD134" s="60">
        <v>0.2</v>
      </c>
      <c r="AG134" s="1" t="s">
        <v>1274</v>
      </c>
      <c r="AH134" s="81"/>
    </row>
    <row r="135" spans="1:34" x14ac:dyDescent="0.25">
      <c r="A135" s="1" t="s">
        <v>1122</v>
      </c>
      <c r="C135" s="1" t="s">
        <v>1029</v>
      </c>
      <c r="D135" s="1" t="s">
        <v>1053</v>
      </c>
      <c r="F135" s="1" t="s">
        <v>399</v>
      </c>
      <c r="G135" s="1"/>
      <c r="H135" s="1"/>
      <c r="I135" s="1"/>
      <c r="J135" s="1"/>
      <c r="K135" s="1"/>
      <c r="L135" s="1"/>
      <c r="M135" s="1"/>
      <c r="N135" s="1"/>
      <c r="X135" s="66">
        <v>0</v>
      </c>
      <c r="Y135" s="76">
        <v>0.2</v>
      </c>
      <c r="Z135" s="71">
        <v>0.2</v>
      </c>
      <c r="AA135" s="60">
        <v>0.2</v>
      </c>
      <c r="AB135" s="60">
        <v>0.2</v>
      </c>
      <c r="AC135" s="60">
        <v>0.2</v>
      </c>
      <c r="AD135" s="60">
        <v>0.2</v>
      </c>
      <c r="AG135" s="1" t="s">
        <v>1274</v>
      </c>
      <c r="AH135" s="81"/>
    </row>
    <row r="136" spans="1:34" x14ac:dyDescent="0.25">
      <c r="A136" s="1" t="s">
        <v>1123</v>
      </c>
      <c r="C136" s="1" t="s">
        <v>1029</v>
      </c>
      <c r="D136" s="1" t="s">
        <v>1053</v>
      </c>
      <c r="F136" s="1" t="s">
        <v>400</v>
      </c>
      <c r="G136" s="1"/>
      <c r="H136" s="1"/>
      <c r="I136" s="1"/>
      <c r="J136" s="1"/>
      <c r="N136" s="1"/>
      <c r="X136" s="66">
        <v>0</v>
      </c>
      <c r="Y136" s="76">
        <v>0.2</v>
      </c>
      <c r="Z136" s="71">
        <v>0.2</v>
      </c>
      <c r="AA136" s="60">
        <v>0.2</v>
      </c>
      <c r="AB136" s="60">
        <v>0.2</v>
      </c>
      <c r="AC136" s="60">
        <v>0.2</v>
      </c>
      <c r="AD136" s="60">
        <v>0.2</v>
      </c>
      <c r="AG136" s="1" t="s">
        <v>1274</v>
      </c>
      <c r="AH136" s="81"/>
    </row>
  </sheetData>
  <mergeCells count="2">
    <mergeCell ref="N2:N3"/>
    <mergeCell ref="N129:N130"/>
  </mergeCells>
  <phoneticPr fontId="17" type="noConversion"/>
  <conditionalFormatting sqref="X2 O2 V2">
    <cfRule type="iconSet" priority="6">
      <iconSet iconSet="5Rating" reverse="1">
        <cfvo type="percent" val="0"/>
        <cfvo type="percent" val="20"/>
        <cfvo type="percent" val="40"/>
        <cfvo type="percent" val="60"/>
        <cfvo type="percent" val="80"/>
      </iconSet>
    </cfRule>
  </conditionalFormatting>
  <conditionalFormatting sqref="X129 O129 V129">
    <cfRule type="iconSet" priority="1">
      <iconSet iconSet="5Rating" reverse="1">
        <cfvo type="percent" val="0"/>
        <cfvo type="percent" val="20"/>
        <cfvo type="percent" val="40"/>
        <cfvo type="percent" val="60"/>
        <cfvo type="percent" val="80"/>
      </iconSet>
    </cfRule>
  </conditionalFormatting>
  <conditionalFormatting sqref="Y2:AD2 P2:U2 W2">
    <cfRule type="iconSet" priority="9">
      <iconSet iconSet="5Rating">
        <cfvo type="percent" val="0"/>
        <cfvo type="percent" val="20"/>
        <cfvo type="percent" val="40"/>
        <cfvo type="percent" val="60"/>
        <cfvo type="percent" val="80"/>
      </iconSet>
    </cfRule>
  </conditionalFormatting>
  <conditionalFormatting sqref="Y129:AD129 P129:U129 W129">
    <cfRule type="iconSet" priority="2">
      <iconSet iconSet="5Rating">
        <cfvo type="percent" val="0"/>
        <cfvo type="percent" val="20"/>
        <cfvo type="percent" val="40"/>
        <cfvo type="percent" val="60"/>
        <cfvo type="percent" val="80"/>
      </iconSet>
    </cfRule>
  </conditionalFormatting>
  <conditionalFormatting sqref="AG127:AH127 A127 C127">
    <cfRule type="iconSet" priority="3">
      <iconSet iconSet="5Rating">
        <cfvo type="percent" val="0"/>
        <cfvo type="percent" val="20"/>
        <cfvo type="percent" val="40"/>
        <cfvo type="percent" val="60"/>
        <cfvo type="percent" val="80"/>
      </iconSet>
    </cfRule>
  </conditionalFormatting>
  <conditionalFormatting sqref="AK1:AL1 AE1:AF1 AI1">
    <cfRule type="iconSet" priority="11">
      <iconSet iconSet="5Rating">
        <cfvo type="percent" val="0"/>
        <cfvo type="percent" val="20"/>
        <cfvo type="percent" val="40"/>
        <cfvo type="percent" val="60"/>
        <cfvo type="percent" val="80"/>
      </iconSet>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EB002-A91E-4AEC-95D0-DCF064EE0BB5}">
  <dimension ref="A1:X66"/>
  <sheetViews>
    <sheetView workbookViewId="0">
      <selection activeCell="A31" sqref="A31"/>
    </sheetView>
  </sheetViews>
  <sheetFormatPr baseColWidth="10" defaultColWidth="7.5703125" defaultRowHeight="15" x14ac:dyDescent="0.25"/>
  <cols>
    <col min="1" max="1" width="34.5703125" style="53" customWidth="1"/>
    <col min="2" max="2" width="18.7109375" style="53" customWidth="1"/>
    <col min="3" max="3" width="18.7109375" style="1" customWidth="1"/>
    <col min="4" max="4" width="24" style="18" customWidth="1"/>
    <col min="5" max="5" width="22" style="18" customWidth="1"/>
    <col min="6" max="7" width="23.42578125" style="18" customWidth="1"/>
    <col min="8" max="8" width="14" style="18" customWidth="1"/>
    <col min="9" max="11" width="8" style="1" bestFit="1" customWidth="1"/>
    <col min="12" max="12" width="9" style="1" bestFit="1" customWidth="1"/>
    <col min="13" max="15" width="8" style="1" bestFit="1" customWidth="1"/>
    <col min="16" max="16384" width="7.5703125" style="1"/>
  </cols>
  <sheetData>
    <row r="1" spans="1:24" ht="36.75" customHeight="1" thickBot="1" x14ac:dyDescent="0.55000000000000004">
      <c r="A1" s="55" t="s">
        <v>1028</v>
      </c>
      <c r="B1" s="12"/>
    </row>
    <row r="2" spans="1:24" s="11" customFormat="1" ht="34.5" customHeight="1" x14ac:dyDescent="0.45">
      <c r="A2" s="11" t="s">
        <v>143</v>
      </c>
      <c r="B2" s="11" t="s">
        <v>1025</v>
      </c>
      <c r="C2" s="11" t="s">
        <v>1026</v>
      </c>
      <c r="D2" s="45" t="s">
        <v>975</v>
      </c>
      <c r="E2" s="45" t="s">
        <v>976</v>
      </c>
      <c r="F2" s="45"/>
      <c r="G2" s="45"/>
      <c r="H2" s="45"/>
      <c r="I2" s="45"/>
      <c r="J2" s="45"/>
      <c r="K2" s="45"/>
      <c r="L2" s="45"/>
      <c r="M2" s="45"/>
      <c r="N2" s="45"/>
      <c r="O2" s="45"/>
      <c r="P2" s="45"/>
      <c r="Q2" s="54"/>
      <c r="R2" s="33"/>
      <c r="S2" s="34"/>
      <c r="T2" s="32"/>
      <c r="U2" s="33"/>
      <c r="V2" s="33"/>
      <c r="W2" s="34"/>
      <c r="X2" s="30"/>
    </row>
    <row r="3" spans="1:24" ht="30" customHeight="1" x14ac:dyDescent="0.25">
      <c r="A3" s="1" t="s">
        <v>189</v>
      </c>
      <c r="B3" s="166" t="s">
        <v>1027</v>
      </c>
      <c r="C3" s="167"/>
      <c r="I3" s="18"/>
      <c r="J3" s="18"/>
      <c r="K3" s="18"/>
      <c r="L3" s="18"/>
      <c r="M3" s="18"/>
      <c r="N3" s="18"/>
      <c r="O3" s="18"/>
      <c r="P3" s="18"/>
    </row>
    <row r="4" spans="1:24" ht="15" customHeight="1" x14ac:dyDescent="0.25">
      <c r="I4" s="18"/>
      <c r="J4" s="18"/>
      <c r="K4" s="18"/>
      <c r="L4" s="18"/>
      <c r="M4" s="18"/>
      <c r="N4" s="18"/>
      <c r="O4" s="18"/>
      <c r="P4" s="18"/>
    </row>
    <row r="5" spans="1:24" ht="15" customHeight="1" x14ac:dyDescent="0.25">
      <c r="A5" s="1"/>
      <c r="B5" s="1"/>
      <c r="D5" s="1"/>
      <c r="E5" s="1"/>
      <c r="I5" s="18"/>
      <c r="J5" s="18"/>
      <c r="K5" s="18"/>
      <c r="L5" s="18"/>
      <c r="M5" s="18"/>
      <c r="N5" s="18"/>
      <c r="O5" s="18"/>
      <c r="P5" s="18"/>
    </row>
    <row r="6" spans="1:24" x14ac:dyDescent="0.25">
      <c r="A6" s="1" t="s">
        <v>1029</v>
      </c>
      <c r="B6" s="1" t="s">
        <v>1066</v>
      </c>
      <c r="D6" s="18" t="s">
        <v>1030</v>
      </c>
      <c r="E6" s="18" t="s">
        <v>1030</v>
      </c>
    </row>
    <row r="7" spans="1:24" x14ac:dyDescent="0.25">
      <c r="A7" s="1" t="s">
        <v>1031</v>
      </c>
      <c r="B7" s="1" t="s">
        <v>1065</v>
      </c>
      <c r="D7" s="1" t="s">
        <v>1038</v>
      </c>
      <c r="E7" s="1"/>
    </row>
    <row r="8" spans="1:24" x14ac:dyDescent="0.25">
      <c r="A8" s="1" t="s">
        <v>1034</v>
      </c>
      <c r="B8" s="1" t="s">
        <v>1067</v>
      </c>
      <c r="D8" s="1" t="s">
        <v>1039</v>
      </c>
      <c r="E8" s="1" t="s">
        <v>1020</v>
      </c>
    </row>
    <row r="9" spans="1:24" x14ac:dyDescent="0.25">
      <c r="A9" s="1" t="s">
        <v>1032</v>
      </c>
      <c r="B9" s="1" t="s">
        <v>1069</v>
      </c>
      <c r="D9" s="1" t="s">
        <v>1040</v>
      </c>
      <c r="E9" s="1" t="s">
        <v>1041</v>
      </c>
      <c r="F9" s="1"/>
      <c r="G9" s="1"/>
      <c r="H9" s="18" t="s">
        <v>1070</v>
      </c>
    </row>
    <row r="10" spans="1:24" x14ac:dyDescent="0.25">
      <c r="A10" s="1" t="s">
        <v>1033</v>
      </c>
      <c r="B10" s="1" t="s">
        <v>1068</v>
      </c>
      <c r="D10" s="1" t="s">
        <v>1042</v>
      </c>
      <c r="E10" s="1" t="s">
        <v>1043</v>
      </c>
    </row>
    <row r="11" spans="1:24" x14ac:dyDescent="0.25">
      <c r="A11" s="1" t="s">
        <v>1036</v>
      </c>
      <c r="B11" s="1" t="s">
        <v>1106</v>
      </c>
      <c r="D11" s="1" t="s">
        <v>116</v>
      </c>
      <c r="E11" s="1" t="s">
        <v>1044</v>
      </c>
    </row>
    <row r="12" spans="1:24" x14ac:dyDescent="0.25">
      <c r="A12" s="1" t="s">
        <v>1035</v>
      </c>
      <c r="B12" s="1" t="s">
        <v>1107</v>
      </c>
      <c r="D12" s="1" t="s">
        <v>1045</v>
      </c>
      <c r="E12" s="1" t="s">
        <v>955</v>
      </c>
      <c r="H12" s="18" t="s">
        <v>1071</v>
      </c>
    </row>
    <row r="13" spans="1:24" x14ac:dyDescent="0.25">
      <c r="A13" s="1" t="s">
        <v>1037</v>
      </c>
      <c r="B13" s="1" t="s">
        <v>1072</v>
      </c>
      <c r="D13" s="1" t="s">
        <v>1046</v>
      </c>
      <c r="E13" s="1" t="s">
        <v>1046</v>
      </c>
    </row>
    <row r="14" spans="1:24" x14ac:dyDescent="0.25">
      <c r="A14" s="1"/>
      <c r="B14" s="1"/>
      <c r="D14" s="1"/>
      <c r="E14" s="1"/>
    </row>
    <row r="15" spans="1:24" x14ac:dyDescent="0.25">
      <c r="A15" s="1"/>
      <c r="B15" s="1"/>
      <c r="D15" s="1"/>
      <c r="E15" s="1"/>
    </row>
    <row r="16" spans="1:24" x14ac:dyDescent="0.25">
      <c r="A16" s="1"/>
      <c r="B16" s="1"/>
      <c r="D16" s="1"/>
      <c r="E16" s="1"/>
    </row>
    <row r="17" spans="1:7" x14ac:dyDescent="0.25">
      <c r="A17" s="1"/>
      <c r="B17" s="1"/>
      <c r="D17" s="1"/>
      <c r="E17" s="1"/>
    </row>
    <row r="18" spans="1:7" x14ac:dyDescent="0.25">
      <c r="A18" s="1"/>
      <c r="B18" s="1"/>
      <c r="D18" s="1"/>
      <c r="E18" s="1"/>
    </row>
    <row r="19" spans="1:7" ht="33.75" x14ac:dyDescent="0.5">
      <c r="A19" s="55" t="s">
        <v>1063</v>
      </c>
      <c r="B19" s="12"/>
    </row>
    <row r="20" spans="1:7" ht="28.5" x14ac:dyDescent="0.45">
      <c r="A20" s="11" t="s">
        <v>143</v>
      </c>
      <c r="B20" s="11" t="s">
        <v>1047</v>
      </c>
      <c r="C20" s="11"/>
      <c r="D20" s="45" t="s">
        <v>975</v>
      </c>
      <c r="E20" s="45" t="s">
        <v>976</v>
      </c>
      <c r="F20" s="45" t="s">
        <v>1048</v>
      </c>
      <c r="G20" s="52" t="s">
        <v>1081</v>
      </c>
    </row>
    <row r="21" spans="1:7" ht="44.25" customHeight="1" x14ac:dyDescent="0.45">
      <c r="A21" s="11"/>
      <c r="B21" s="11"/>
      <c r="C21" s="11"/>
      <c r="D21" s="45"/>
      <c r="E21" s="45"/>
      <c r="F21" s="57" t="s">
        <v>1049</v>
      </c>
      <c r="G21" s="57" t="s">
        <v>1082</v>
      </c>
    </row>
    <row r="23" spans="1:7" x14ac:dyDescent="0.25">
      <c r="A23" s="1" t="s">
        <v>188</v>
      </c>
      <c r="B23" s="1" t="s">
        <v>1029</v>
      </c>
      <c r="D23" s="18" t="s">
        <v>1073</v>
      </c>
      <c r="E23" s="18" t="s">
        <v>383</v>
      </c>
      <c r="F23" s="18" t="s">
        <v>615</v>
      </c>
      <c r="G23" s="18">
        <v>90</v>
      </c>
    </row>
    <row r="24" spans="1:7" x14ac:dyDescent="0.25">
      <c r="A24" s="1" t="s">
        <v>1051</v>
      </c>
      <c r="B24" s="1" t="s">
        <v>1029</v>
      </c>
      <c r="D24" s="1" t="s">
        <v>1074</v>
      </c>
      <c r="E24" s="1" t="s">
        <v>394</v>
      </c>
    </row>
    <row r="25" spans="1:7" x14ac:dyDescent="0.25">
      <c r="A25" s="1" t="s">
        <v>1052</v>
      </c>
      <c r="B25" s="1" t="s">
        <v>1029</v>
      </c>
      <c r="D25" s="1" t="s">
        <v>1076</v>
      </c>
      <c r="E25" s="1" t="s">
        <v>1077</v>
      </c>
      <c r="F25" s="18" t="s">
        <v>615</v>
      </c>
      <c r="G25" s="18">
        <v>75</v>
      </c>
    </row>
    <row r="26" spans="1:7" x14ac:dyDescent="0.25">
      <c r="A26" s="1" t="s">
        <v>1053</v>
      </c>
      <c r="B26" s="1" t="s">
        <v>1029</v>
      </c>
      <c r="D26" s="1" t="s">
        <v>1078</v>
      </c>
      <c r="E26" s="1" t="s">
        <v>1079</v>
      </c>
      <c r="F26" s="18" t="s">
        <v>615</v>
      </c>
      <c r="G26" s="18">
        <v>75</v>
      </c>
    </row>
    <row r="27" spans="1:7" x14ac:dyDescent="0.25">
      <c r="A27" s="1" t="s">
        <v>1054</v>
      </c>
      <c r="B27" s="1" t="s">
        <v>1029</v>
      </c>
      <c r="D27" s="1" t="s">
        <v>1080</v>
      </c>
      <c r="E27" s="1" t="s">
        <v>890</v>
      </c>
      <c r="F27" s="18" t="s">
        <v>615</v>
      </c>
      <c r="G27" s="18">
        <v>75</v>
      </c>
    </row>
    <row r="28" spans="1:7" x14ac:dyDescent="0.25">
      <c r="A28" s="1"/>
      <c r="B28" s="1"/>
      <c r="D28" s="1"/>
      <c r="E28" s="1"/>
    </row>
    <row r="29" spans="1:7" x14ac:dyDescent="0.25">
      <c r="A29" s="1" t="s">
        <v>1055</v>
      </c>
      <c r="B29" s="1" t="s">
        <v>1035</v>
      </c>
      <c r="D29" s="1" t="s">
        <v>1083</v>
      </c>
      <c r="E29" s="1" t="s">
        <v>1083</v>
      </c>
    </row>
    <row r="30" spans="1:7" x14ac:dyDescent="0.25">
      <c r="A30" s="1"/>
      <c r="B30" s="1"/>
      <c r="D30" s="1"/>
      <c r="E30" s="1"/>
    </row>
    <row r="31" spans="1:7" x14ac:dyDescent="0.25">
      <c r="A31" s="1" t="s">
        <v>1086</v>
      </c>
      <c r="B31" s="1" t="s">
        <v>1031</v>
      </c>
      <c r="D31" s="1" t="s">
        <v>1087</v>
      </c>
      <c r="E31" s="1" t="s">
        <v>1087</v>
      </c>
    </row>
    <row r="32" spans="1:7" x14ac:dyDescent="0.25">
      <c r="A32" s="1" t="s">
        <v>1056</v>
      </c>
      <c r="B32" s="1" t="s">
        <v>1031</v>
      </c>
      <c r="D32" s="1" t="s">
        <v>401</v>
      </c>
      <c r="E32" s="1" t="s">
        <v>401</v>
      </c>
    </row>
    <row r="33" spans="1:8" x14ac:dyDescent="0.25">
      <c r="A33" s="1" t="s">
        <v>1057</v>
      </c>
      <c r="B33" s="1" t="s">
        <v>1031</v>
      </c>
      <c r="D33" s="1" t="s">
        <v>1088</v>
      </c>
      <c r="E33" s="1" t="s">
        <v>1095</v>
      </c>
    </row>
    <row r="34" spans="1:8" x14ac:dyDescent="0.25">
      <c r="B34" s="1"/>
      <c r="D34" s="1"/>
      <c r="E34" s="1"/>
    </row>
    <row r="35" spans="1:8" x14ac:dyDescent="0.25">
      <c r="A35" s="1" t="s">
        <v>1061</v>
      </c>
      <c r="B35" s="1" t="s">
        <v>1034</v>
      </c>
      <c r="D35" s="1" t="s">
        <v>1039</v>
      </c>
      <c r="E35" s="1" t="s">
        <v>1020</v>
      </c>
    </row>
    <row r="36" spans="1:8" x14ac:dyDescent="0.25">
      <c r="A36" s="1"/>
      <c r="B36" s="1"/>
      <c r="D36" s="1"/>
      <c r="E36" s="1"/>
    </row>
    <row r="37" spans="1:8" x14ac:dyDescent="0.25">
      <c r="A37" s="1" t="s">
        <v>1092</v>
      </c>
      <c r="B37" s="1" t="s">
        <v>1032</v>
      </c>
      <c r="D37" s="1" t="s">
        <v>1040</v>
      </c>
      <c r="E37" s="1" t="s">
        <v>1041</v>
      </c>
    </row>
    <row r="38" spans="1:8" x14ac:dyDescent="0.25">
      <c r="A38" s="1" t="s">
        <v>1060</v>
      </c>
      <c r="B38" s="1" t="s">
        <v>1032</v>
      </c>
      <c r="D38" s="1" t="s">
        <v>737</v>
      </c>
      <c r="E38" s="1" t="s">
        <v>1094</v>
      </c>
    </row>
    <row r="39" spans="1:8" x14ac:dyDescent="0.25">
      <c r="A39" s="1" t="s">
        <v>1096</v>
      </c>
      <c r="B39" s="1" t="s">
        <v>1032</v>
      </c>
      <c r="D39" s="1" t="s">
        <v>1097</v>
      </c>
      <c r="E39" s="1" t="s">
        <v>1098</v>
      </c>
      <c r="F39" s="1"/>
      <c r="G39" s="1"/>
      <c r="H39" s="1"/>
    </row>
    <row r="40" spans="1:8" x14ac:dyDescent="0.25">
      <c r="A40" s="1"/>
      <c r="B40" s="1"/>
      <c r="D40" s="1"/>
      <c r="E40" s="1"/>
      <c r="H40" s="1"/>
    </row>
    <row r="41" spans="1:8" x14ac:dyDescent="0.25">
      <c r="A41" s="1" t="s">
        <v>189</v>
      </c>
      <c r="B41" s="1" t="s">
        <v>1033</v>
      </c>
      <c r="D41" s="1" t="s">
        <v>1042</v>
      </c>
      <c r="E41" s="1" t="s">
        <v>1043</v>
      </c>
      <c r="H41" s="1"/>
    </row>
    <row r="42" spans="1:8" x14ac:dyDescent="0.25">
      <c r="A42" s="1"/>
      <c r="B42" s="1"/>
      <c r="D42" s="1"/>
      <c r="E42" s="1"/>
      <c r="H42" s="1"/>
    </row>
    <row r="43" spans="1:8" x14ac:dyDescent="0.25">
      <c r="A43" s="1" t="s">
        <v>1058</v>
      </c>
      <c r="B43" s="1" t="s">
        <v>1036</v>
      </c>
      <c r="D43" s="1" t="s">
        <v>116</v>
      </c>
      <c r="E43" s="1" t="s">
        <v>1101</v>
      </c>
      <c r="H43" s="1"/>
    </row>
    <row r="44" spans="1:8" x14ac:dyDescent="0.25">
      <c r="A44" s="1" t="s">
        <v>1059</v>
      </c>
      <c r="B44" s="1" t="s">
        <v>1036</v>
      </c>
      <c r="D44" s="1" t="s">
        <v>1100</v>
      </c>
      <c r="E44" s="1" t="s">
        <v>1102</v>
      </c>
      <c r="H44" s="1"/>
    </row>
    <row r="45" spans="1:8" x14ac:dyDescent="0.25">
      <c r="A45" s="1"/>
      <c r="B45" s="1"/>
      <c r="D45" s="1"/>
      <c r="E45" s="1"/>
      <c r="H45" s="1"/>
    </row>
    <row r="46" spans="1:8" x14ac:dyDescent="0.25">
      <c r="A46" s="1" t="s">
        <v>420</v>
      </c>
      <c r="B46" s="1" t="s">
        <v>1037</v>
      </c>
      <c r="D46" s="18" t="s">
        <v>412</v>
      </c>
      <c r="E46" s="18" t="s">
        <v>412</v>
      </c>
      <c r="H46" s="1"/>
    </row>
    <row r="47" spans="1:8" x14ac:dyDescent="0.25">
      <c r="A47" s="1" t="s">
        <v>1062</v>
      </c>
      <c r="B47" s="1" t="s">
        <v>1037</v>
      </c>
      <c r="D47" s="1" t="s">
        <v>136</v>
      </c>
      <c r="E47" s="1" t="s">
        <v>1104</v>
      </c>
      <c r="H47" s="1"/>
    </row>
    <row r="48" spans="1:8" x14ac:dyDescent="0.25">
      <c r="A48" s="1" t="s">
        <v>1103</v>
      </c>
      <c r="B48" s="1" t="s">
        <v>1037</v>
      </c>
      <c r="D48" s="1" t="s">
        <v>1046</v>
      </c>
      <c r="E48" s="1" t="s">
        <v>1046</v>
      </c>
      <c r="H48" s="1"/>
    </row>
    <row r="49" spans="1:8" x14ac:dyDescent="0.25">
      <c r="A49" s="1"/>
      <c r="B49" s="1"/>
      <c r="D49" s="1"/>
      <c r="E49" s="1"/>
      <c r="H49" s="1"/>
    </row>
    <row r="50" spans="1:8" x14ac:dyDescent="0.25">
      <c r="A50" s="1"/>
      <c r="B50" s="1"/>
      <c r="D50" s="1"/>
      <c r="E50" s="1"/>
      <c r="F50" s="1"/>
      <c r="G50" s="1"/>
      <c r="H50" s="1"/>
    </row>
    <row r="51" spans="1:8" ht="15.75" thickBot="1" x14ac:dyDescent="0.3">
      <c r="A51" s="1"/>
      <c r="B51" s="1"/>
      <c r="D51" s="1"/>
      <c r="E51" s="1"/>
      <c r="F51" s="1"/>
      <c r="G51" s="1"/>
      <c r="H51" s="1"/>
    </row>
    <row r="52" spans="1:8" s="81" customFormat="1" x14ac:dyDescent="0.25">
      <c r="A52" s="89" t="s">
        <v>190</v>
      </c>
      <c r="F52" s="82"/>
      <c r="G52" s="82"/>
    </row>
    <row r="53" spans="1:8" x14ac:dyDescent="0.25">
      <c r="A53" s="1"/>
      <c r="B53" s="1"/>
      <c r="D53" s="1"/>
      <c r="E53" s="1"/>
      <c r="H53" s="1"/>
    </row>
    <row r="54" spans="1:8" x14ac:dyDescent="0.25">
      <c r="A54" s="1"/>
      <c r="B54" s="1"/>
      <c r="D54" s="1"/>
      <c r="E54" s="1"/>
      <c r="F54" s="1"/>
      <c r="G54" s="1"/>
      <c r="H54" s="1"/>
    </row>
    <row r="55" spans="1:8" x14ac:dyDescent="0.25">
      <c r="A55" s="1"/>
      <c r="B55" s="1"/>
      <c r="D55" s="1"/>
      <c r="E55" s="1"/>
    </row>
    <row r="56" spans="1:8" x14ac:dyDescent="0.25">
      <c r="A56" s="1"/>
      <c r="B56" s="1"/>
      <c r="D56" s="1"/>
      <c r="E56" s="1"/>
    </row>
    <row r="57" spans="1:8" x14ac:dyDescent="0.25">
      <c r="A57" s="1"/>
      <c r="B57" s="1"/>
      <c r="D57" s="1"/>
      <c r="E57" s="1"/>
    </row>
    <row r="58" spans="1:8" x14ac:dyDescent="0.25">
      <c r="A58" s="1"/>
    </row>
    <row r="59" spans="1:8" x14ac:dyDescent="0.25">
      <c r="A59" s="1"/>
      <c r="B59" s="1"/>
      <c r="D59" s="1"/>
      <c r="E59" s="1"/>
    </row>
    <row r="60" spans="1:8" x14ac:dyDescent="0.25">
      <c r="A60" s="1"/>
    </row>
    <row r="61" spans="1:8" x14ac:dyDescent="0.25">
      <c r="A61" s="1"/>
    </row>
    <row r="62" spans="1:8" x14ac:dyDescent="0.25">
      <c r="A62" s="1"/>
    </row>
    <row r="63" spans="1:8" x14ac:dyDescent="0.25">
      <c r="A63" s="1"/>
    </row>
    <row r="64" spans="1:8" x14ac:dyDescent="0.25">
      <c r="A64" s="1"/>
    </row>
    <row r="66" spans="2:5" x14ac:dyDescent="0.25">
      <c r="B66" s="1"/>
      <c r="D66" s="1"/>
      <c r="E66" s="1"/>
    </row>
  </sheetData>
  <mergeCells count="1">
    <mergeCell ref="B3:C3"/>
  </mergeCells>
  <conditionalFormatting sqref="A52">
    <cfRule type="iconSet" priority="10">
      <iconSet iconSet="5Rating">
        <cfvo type="percent" val="0"/>
        <cfvo type="percent" val="20"/>
        <cfvo type="percent" val="40"/>
        <cfvo type="percent" val="60"/>
        <cfvo type="percent" val="80"/>
      </iconSet>
    </cfRule>
  </conditionalFormatting>
  <conditionalFormatting sqref="T2:U2 Q2">
    <cfRule type="iconSet" priority="4">
      <iconSet iconSet="5Rating">
        <cfvo type="percent" val="0"/>
        <cfvo type="percent" val="20"/>
        <cfvo type="percent" val="40"/>
        <cfvo type="percent" val="60"/>
        <cfvo type="percent" val="80"/>
      </iconSet>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6AF9-6078-4721-A837-8EBD9195CBAA}">
  <dimension ref="A1:AF315"/>
  <sheetViews>
    <sheetView topLeftCell="A4" zoomScaleNormal="100" workbookViewId="0">
      <pane xSplit="1" topLeftCell="H1" activePane="topRight" state="frozen"/>
      <selection pane="topRight" activeCell="N33" sqref="N33"/>
    </sheetView>
  </sheetViews>
  <sheetFormatPr baseColWidth="10" defaultColWidth="21.140625" defaultRowHeight="15" x14ac:dyDescent="0.25"/>
  <cols>
    <col min="1" max="1" width="25.140625" style="1" customWidth="1"/>
    <col min="2" max="2" width="17.42578125" style="1" customWidth="1"/>
    <col min="3" max="3" width="30.28515625" style="1" customWidth="1"/>
    <col min="4" max="4" width="1" style="1" customWidth="1"/>
    <col min="5" max="5" width="4.7109375" style="1" customWidth="1"/>
    <col min="6" max="6" width="5.42578125" style="1" customWidth="1"/>
    <col min="7" max="7" width="14.5703125" style="1" customWidth="1"/>
    <col min="8" max="10" width="12.7109375" style="1" customWidth="1"/>
    <col min="11" max="11" width="11.42578125" style="1" customWidth="1"/>
    <col min="12" max="15" width="10.140625" style="1" customWidth="1"/>
    <col min="16" max="16" width="4.5703125" style="1" customWidth="1"/>
    <col min="17" max="17" width="4.5703125" style="125" customWidth="1"/>
    <col min="18" max="19" width="4.5703125" style="120" customWidth="1"/>
    <col min="20" max="20" width="4.5703125" style="1" customWidth="1"/>
    <col min="21" max="21" width="4.5703125" style="91" customWidth="1"/>
    <col min="22" max="22" width="4.5703125" style="95" customWidth="1"/>
    <col min="23" max="23" width="4.5703125" style="103" customWidth="1"/>
    <col min="24" max="24" width="4.5703125" style="99" customWidth="1"/>
    <col min="25" max="25" width="4.5703125" style="107" customWidth="1"/>
    <col min="26" max="26" width="4.5703125" style="116" customWidth="1"/>
    <col min="27" max="27" width="4.5703125" style="111" customWidth="1"/>
    <col min="28" max="28" width="4.5703125" style="114" customWidth="1"/>
    <col min="29" max="29" width="5.5703125" style="114" customWidth="1"/>
    <col min="30" max="30" width="38.42578125" style="1" customWidth="1"/>
    <col min="31" max="16384" width="21.140625" style="1"/>
  </cols>
  <sheetData>
    <row r="1" spans="1:31" ht="33.75" x14ac:dyDescent="0.5">
      <c r="A1" s="55" t="s">
        <v>1361</v>
      </c>
    </row>
    <row r="2" spans="1:31" ht="168.75" x14ac:dyDescent="0.45">
      <c r="A2" s="11" t="s">
        <v>143</v>
      </c>
      <c r="B2" s="11" t="s">
        <v>894</v>
      </c>
      <c r="C2" s="52" t="s">
        <v>975</v>
      </c>
      <c r="D2" s="52" t="s">
        <v>976</v>
      </c>
      <c r="E2" s="130" t="s">
        <v>1322</v>
      </c>
      <c r="F2" s="130" t="s">
        <v>1323</v>
      </c>
      <c r="G2" s="130" t="s">
        <v>1391</v>
      </c>
      <c r="I2" s="130" t="s">
        <v>1389</v>
      </c>
      <c r="J2" s="130" t="s">
        <v>1390</v>
      </c>
      <c r="L2" s="130" t="s">
        <v>1563</v>
      </c>
      <c r="M2" s="130" t="s">
        <v>1560</v>
      </c>
      <c r="N2" s="130" t="s">
        <v>1561</v>
      </c>
      <c r="O2" s="130" t="s">
        <v>1562</v>
      </c>
      <c r="P2" s="130"/>
      <c r="Q2" s="131" t="s">
        <v>1345</v>
      </c>
      <c r="R2" s="132" t="s">
        <v>1346</v>
      </c>
      <c r="S2" s="132"/>
      <c r="T2" s="133"/>
      <c r="U2" s="134"/>
      <c r="V2" s="135"/>
      <c r="W2" s="136"/>
      <c r="X2" s="137"/>
      <c r="Y2" s="138"/>
      <c r="Z2" s="139"/>
      <c r="AA2" s="140"/>
      <c r="AB2" s="141"/>
      <c r="AC2" s="130" t="s">
        <v>1559</v>
      </c>
      <c r="AD2" s="130" t="s">
        <v>1392</v>
      </c>
      <c r="AE2" s="130" t="s">
        <v>1025</v>
      </c>
    </row>
    <row r="3" spans="1:31" x14ac:dyDescent="0.25">
      <c r="AC3" s="46"/>
    </row>
    <row r="4" spans="1:31" x14ac:dyDescent="0.25">
      <c r="A4" s="151" t="s">
        <v>1414</v>
      </c>
      <c r="AC4" s="46"/>
    </row>
    <row r="5" spans="1:31" x14ac:dyDescent="0.25">
      <c r="A5" s="1" t="s">
        <v>1362</v>
      </c>
      <c r="B5" s="142" t="s">
        <v>1401</v>
      </c>
      <c r="C5" s="1" t="s">
        <v>1404</v>
      </c>
      <c r="E5" s="1">
        <v>1</v>
      </c>
      <c r="F5" s="1">
        <v>2</v>
      </c>
      <c r="G5" s="1">
        <v>1</v>
      </c>
      <c r="I5" s="1">
        <v>5</v>
      </c>
      <c r="J5" s="1">
        <v>0</v>
      </c>
      <c r="M5" s="1">
        <v>0</v>
      </c>
      <c r="Q5" s="125" t="s">
        <v>615</v>
      </c>
      <c r="AC5" s="46">
        <v>250</v>
      </c>
      <c r="AD5" s="1" t="s">
        <v>1409</v>
      </c>
      <c r="AE5" s="1" t="s">
        <v>1571</v>
      </c>
    </row>
    <row r="6" spans="1:31" x14ac:dyDescent="0.25">
      <c r="A6" s="1" t="s">
        <v>1363</v>
      </c>
      <c r="B6" s="142" t="s">
        <v>1401</v>
      </c>
      <c r="C6" s="1" t="s">
        <v>1369</v>
      </c>
      <c r="E6" s="1">
        <v>2</v>
      </c>
      <c r="F6" s="1">
        <v>3</v>
      </c>
      <c r="G6" s="1">
        <v>1</v>
      </c>
      <c r="I6" s="1">
        <v>5</v>
      </c>
      <c r="J6" s="1">
        <v>0</v>
      </c>
      <c r="M6" s="1">
        <v>1</v>
      </c>
      <c r="Q6" s="125" t="s">
        <v>615</v>
      </c>
      <c r="AC6" s="46">
        <v>300</v>
      </c>
      <c r="AD6" s="1" t="s">
        <v>1409</v>
      </c>
      <c r="AE6" s="1" t="s">
        <v>1571</v>
      </c>
    </row>
    <row r="7" spans="1:31" x14ac:dyDescent="0.25">
      <c r="A7" s="1" t="s">
        <v>1364</v>
      </c>
      <c r="B7" s="142" t="s">
        <v>1401</v>
      </c>
      <c r="C7" s="1" t="s">
        <v>1370</v>
      </c>
      <c r="E7" s="1">
        <v>3</v>
      </c>
      <c r="F7" s="1">
        <v>4</v>
      </c>
      <c r="G7" s="1">
        <v>2</v>
      </c>
      <c r="I7" s="1">
        <v>10</v>
      </c>
      <c r="J7" s="1">
        <v>1</v>
      </c>
      <c r="M7" s="1">
        <v>1</v>
      </c>
      <c r="Q7" s="125" t="s">
        <v>615</v>
      </c>
      <c r="AC7" s="46">
        <v>500</v>
      </c>
      <c r="AD7" s="1" t="s">
        <v>1409</v>
      </c>
      <c r="AE7" s="1" t="s">
        <v>1309</v>
      </c>
    </row>
    <row r="8" spans="1:31" x14ac:dyDescent="0.25">
      <c r="A8" s="1" t="s">
        <v>1365</v>
      </c>
      <c r="B8" s="142" t="s">
        <v>1401</v>
      </c>
      <c r="C8" s="1" t="s">
        <v>1408</v>
      </c>
      <c r="E8" s="1">
        <v>4</v>
      </c>
      <c r="F8" s="1">
        <v>5</v>
      </c>
      <c r="G8" s="1">
        <v>3</v>
      </c>
      <c r="I8" s="1">
        <v>20</v>
      </c>
      <c r="J8" s="1">
        <v>2</v>
      </c>
      <c r="M8" s="1">
        <v>1</v>
      </c>
      <c r="Q8" s="125" t="s">
        <v>615</v>
      </c>
      <c r="AA8" s="113"/>
      <c r="AC8" s="46">
        <v>750</v>
      </c>
      <c r="AD8" s="1" t="s">
        <v>1409</v>
      </c>
      <c r="AE8" s="1" t="s">
        <v>1308</v>
      </c>
    </row>
    <row r="9" spans="1:31" x14ac:dyDescent="0.25">
      <c r="A9" s="1" t="s">
        <v>1366</v>
      </c>
      <c r="B9" s="142" t="s">
        <v>1401</v>
      </c>
      <c r="C9" s="1" t="s">
        <v>1406</v>
      </c>
      <c r="E9" s="1">
        <v>5</v>
      </c>
      <c r="F9" s="1">
        <v>6</v>
      </c>
      <c r="G9" s="1">
        <v>4</v>
      </c>
      <c r="I9" s="1">
        <v>25</v>
      </c>
      <c r="J9" s="1">
        <v>4</v>
      </c>
      <c r="M9" s="1">
        <v>1</v>
      </c>
      <c r="Q9" s="125" t="s">
        <v>615</v>
      </c>
      <c r="AC9" s="46">
        <v>1000</v>
      </c>
      <c r="AD9" s="1" t="s">
        <v>1409</v>
      </c>
      <c r="AE9" s="1" t="s">
        <v>1307</v>
      </c>
    </row>
    <row r="10" spans="1:31" x14ac:dyDescent="0.25">
      <c r="A10" s="1" t="s">
        <v>1367</v>
      </c>
      <c r="B10" s="142" t="s">
        <v>1401</v>
      </c>
      <c r="C10" s="1" t="s">
        <v>1405</v>
      </c>
      <c r="E10" s="1">
        <v>6</v>
      </c>
      <c r="F10" s="1">
        <v>7</v>
      </c>
      <c r="G10" s="1">
        <v>4</v>
      </c>
      <c r="I10" s="1">
        <v>30</v>
      </c>
      <c r="J10" s="1">
        <v>5</v>
      </c>
      <c r="M10" s="1">
        <v>1</v>
      </c>
      <c r="Q10" s="125" t="s">
        <v>615</v>
      </c>
      <c r="AC10" s="46">
        <v>1250</v>
      </c>
      <c r="AD10" s="1" t="s">
        <v>1409</v>
      </c>
      <c r="AE10" s="1" t="s">
        <v>1307</v>
      </c>
    </row>
    <row r="11" spans="1:31" x14ac:dyDescent="0.25">
      <c r="A11" s="1" t="s">
        <v>1368</v>
      </c>
      <c r="B11" s="142" t="s">
        <v>1401</v>
      </c>
      <c r="C11" s="1" t="s">
        <v>1407</v>
      </c>
      <c r="E11" s="1">
        <v>7</v>
      </c>
      <c r="F11" s="1">
        <v>9</v>
      </c>
      <c r="G11" s="1">
        <v>4</v>
      </c>
      <c r="I11" s="1">
        <v>30</v>
      </c>
      <c r="J11" s="1">
        <v>5</v>
      </c>
      <c r="M11" s="1">
        <v>1</v>
      </c>
      <c r="Q11" s="125" t="s">
        <v>615</v>
      </c>
      <c r="AC11" s="46">
        <v>1500</v>
      </c>
      <c r="AD11" s="1" t="s">
        <v>1409</v>
      </c>
      <c r="AE11" s="1" t="s">
        <v>1307</v>
      </c>
    </row>
    <row r="12" spans="1:31" x14ac:dyDescent="0.25">
      <c r="B12" s="142"/>
      <c r="AC12" s="46"/>
    </row>
    <row r="13" spans="1:31" x14ac:dyDescent="0.25">
      <c r="B13" s="142"/>
      <c r="AC13" s="46"/>
    </row>
    <row r="14" spans="1:31" x14ac:dyDescent="0.25">
      <c r="A14" s="151" t="s">
        <v>1393</v>
      </c>
      <c r="B14" s="142"/>
      <c r="AC14" s="46"/>
    </row>
    <row r="15" spans="1:31" x14ac:dyDescent="0.25">
      <c r="A15" s="1" t="s">
        <v>1402</v>
      </c>
      <c r="B15" s="142" t="s">
        <v>1401</v>
      </c>
      <c r="C15" s="1" t="s">
        <v>1403</v>
      </c>
      <c r="E15" s="1">
        <v>9</v>
      </c>
      <c r="F15" s="1">
        <v>15</v>
      </c>
      <c r="G15" s="1">
        <v>0</v>
      </c>
      <c r="M15" s="1">
        <v>0</v>
      </c>
      <c r="Q15" s="125" t="s">
        <v>615</v>
      </c>
      <c r="R15" s="120" t="s">
        <v>615</v>
      </c>
      <c r="AC15" s="46">
        <v>10</v>
      </c>
      <c r="AD15" s="1" t="s">
        <v>1409</v>
      </c>
      <c r="AE15" s="1" t="s">
        <v>1311</v>
      </c>
    </row>
    <row r="16" spans="1:31" x14ac:dyDescent="0.25">
      <c r="A16" s="1" t="s">
        <v>1395</v>
      </c>
      <c r="B16" s="142" t="s">
        <v>1401</v>
      </c>
      <c r="C16" s="1" t="s">
        <v>1301</v>
      </c>
      <c r="E16" s="1">
        <v>9</v>
      </c>
      <c r="F16" s="1">
        <v>15</v>
      </c>
      <c r="G16" s="1">
        <v>1</v>
      </c>
      <c r="I16" s="1">
        <v>5</v>
      </c>
      <c r="L16" s="1">
        <v>10000</v>
      </c>
      <c r="M16" s="1">
        <v>0</v>
      </c>
      <c r="Q16" s="125" t="s">
        <v>615</v>
      </c>
      <c r="R16" s="120" t="s">
        <v>615</v>
      </c>
      <c r="AC16" s="46">
        <v>250</v>
      </c>
      <c r="AD16" s="1" t="s">
        <v>1409</v>
      </c>
      <c r="AE16" s="1" t="s">
        <v>1310</v>
      </c>
    </row>
    <row r="17" spans="1:31" x14ac:dyDescent="0.25">
      <c r="A17" s="1" t="s">
        <v>1396</v>
      </c>
      <c r="B17" s="142" t="s">
        <v>1401</v>
      </c>
      <c r="C17" s="1" t="s">
        <v>1300</v>
      </c>
      <c r="E17" s="1">
        <v>9</v>
      </c>
      <c r="F17" s="1">
        <v>15</v>
      </c>
      <c r="G17" s="1">
        <v>2</v>
      </c>
      <c r="I17" s="1">
        <v>10</v>
      </c>
      <c r="J17" s="1">
        <v>1</v>
      </c>
      <c r="L17" s="1">
        <v>100000</v>
      </c>
      <c r="M17" s="1">
        <v>1</v>
      </c>
      <c r="Q17" s="125" t="s">
        <v>615</v>
      </c>
      <c r="R17" s="120" t="s">
        <v>615</v>
      </c>
      <c r="AC17" s="46">
        <v>750</v>
      </c>
      <c r="AD17" s="1" t="s">
        <v>1409</v>
      </c>
      <c r="AE17" s="1" t="s">
        <v>1309</v>
      </c>
    </row>
    <row r="18" spans="1:31" x14ac:dyDescent="0.25">
      <c r="A18" s="1" t="s">
        <v>1397</v>
      </c>
      <c r="B18" s="142" t="s">
        <v>1401</v>
      </c>
      <c r="C18" s="1" t="s">
        <v>1299</v>
      </c>
      <c r="E18" s="1">
        <v>9</v>
      </c>
      <c r="F18" s="1">
        <v>15</v>
      </c>
      <c r="G18" s="1">
        <v>3</v>
      </c>
      <c r="I18" s="1">
        <v>20</v>
      </c>
      <c r="J18" s="1">
        <v>2</v>
      </c>
      <c r="L18" s="1">
        <v>1000000</v>
      </c>
      <c r="M18" s="1">
        <v>1</v>
      </c>
      <c r="Q18" s="125" t="s">
        <v>615</v>
      </c>
      <c r="R18" s="120" t="s">
        <v>615</v>
      </c>
      <c r="AC18" s="46">
        <v>1000</v>
      </c>
      <c r="AD18" s="1" t="s">
        <v>1409</v>
      </c>
      <c r="AE18" s="1" t="s">
        <v>1308</v>
      </c>
    </row>
    <row r="19" spans="1:31" x14ac:dyDescent="0.25">
      <c r="A19" s="1" t="s">
        <v>1398</v>
      </c>
      <c r="B19" s="142" t="s">
        <v>1401</v>
      </c>
      <c r="C19" s="1" t="s">
        <v>1298</v>
      </c>
      <c r="E19" s="1">
        <v>9</v>
      </c>
      <c r="F19" s="1">
        <v>15</v>
      </c>
      <c r="G19" s="1">
        <v>4</v>
      </c>
      <c r="I19" s="1">
        <v>30</v>
      </c>
      <c r="J19" s="1">
        <v>5</v>
      </c>
      <c r="L19" s="1">
        <v>10000000</v>
      </c>
      <c r="M19" s="1">
        <v>2</v>
      </c>
      <c r="Q19" s="125" t="s">
        <v>615</v>
      </c>
      <c r="R19" s="120" t="s">
        <v>615</v>
      </c>
      <c r="AC19" s="46">
        <v>1500</v>
      </c>
      <c r="AD19" s="1" t="s">
        <v>1409</v>
      </c>
      <c r="AE19" s="1" t="s">
        <v>1307</v>
      </c>
    </row>
    <row r="20" spans="1:31" x14ac:dyDescent="0.25">
      <c r="A20" s="1" t="s">
        <v>1399</v>
      </c>
      <c r="B20" s="142" t="s">
        <v>1401</v>
      </c>
      <c r="C20" s="1" t="s">
        <v>1297</v>
      </c>
      <c r="E20" s="1">
        <v>9</v>
      </c>
      <c r="F20" s="1">
        <v>15</v>
      </c>
      <c r="G20" s="1">
        <v>5</v>
      </c>
      <c r="I20" s="1">
        <v>40</v>
      </c>
      <c r="J20" s="1">
        <v>10</v>
      </c>
      <c r="L20" s="1">
        <v>100000000</v>
      </c>
      <c r="M20" s="1">
        <v>3</v>
      </c>
      <c r="Q20" s="125" t="s">
        <v>615</v>
      </c>
      <c r="R20" s="120" t="s">
        <v>615</v>
      </c>
      <c r="AC20" s="46">
        <v>2000</v>
      </c>
      <c r="AD20" s="1" t="s">
        <v>1409</v>
      </c>
      <c r="AE20" s="1" t="s">
        <v>1306</v>
      </c>
    </row>
    <row r="21" spans="1:31" x14ac:dyDescent="0.25">
      <c r="A21" s="1" t="s">
        <v>1400</v>
      </c>
      <c r="B21" s="142" t="s">
        <v>1401</v>
      </c>
      <c r="C21" s="1" t="s">
        <v>1296</v>
      </c>
      <c r="E21" s="1">
        <v>9</v>
      </c>
      <c r="F21" s="1">
        <v>15</v>
      </c>
      <c r="G21" s="1">
        <v>6</v>
      </c>
      <c r="I21" s="1">
        <v>50</v>
      </c>
      <c r="J21" s="1">
        <v>15</v>
      </c>
      <c r="L21" s="1">
        <v>200000000</v>
      </c>
      <c r="M21" s="1">
        <v>4</v>
      </c>
      <c r="Q21" s="125" t="s">
        <v>615</v>
      </c>
      <c r="R21" s="120" t="s">
        <v>615</v>
      </c>
      <c r="AC21" s="46">
        <v>2500</v>
      </c>
      <c r="AD21" s="1" t="s">
        <v>1409</v>
      </c>
      <c r="AE21" s="1" t="s">
        <v>1281</v>
      </c>
    </row>
    <row r="22" spans="1:31" x14ac:dyDescent="0.25">
      <c r="B22" s="142"/>
      <c r="AC22" s="46"/>
    </row>
    <row r="23" spans="1:31" x14ac:dyDescent="0.25">
      <c r="B23" s="142"/>
      <c r="AC23" s="46"/>
    </row>
    <row r="24" spans="1:31" x14ac:dyDescent="0.25">
      <c r="A24" s="151" t="s">
        <v>1394</v>
      </c>
      <c r="B24" s="142"/>
      <c r="AA24" s="113"/>
      <c r="AC24" s="46"/>
    </row>
    <row r="25" spans="1:31" x14ac:dyDescent="0.25">
      <c r="A25" s="1" t="s">
        <v>1379</v>
      </c>
      <c r="B25" s="143" t="s">
        <v>1332</v>
      </c>
      <c r="C25" s="1" t="s">
        <v>1371</v>
      </c>
      <c r="E25" s="1">
        <v>5</v>
      </c>
      <c r="F25" s="1">
        <v>15</v>
      </c>
      <c r="G25" s="1">
        <v>1</v>
      </c>
      <c r="I25" s="1">
        <v>20</v>
      </c>
      <c r="J25" s="1">
        <v>0</v>
      </c>
      <c r="M25" s="1">
        <v>1</v>
      </c>
      <c r="N25" s="1" t="s">
        <v>1572</v>
      </c>
      <c r="O25" s="1" t="s">
        <v>1573</v>
      </c>
      <c r="Q25" s="125" t="s">
        <v>615</v>
      </c>
      <c r="AA25" s="113"/>
      <c r="AC25" s="46">
        <v>1000</v>
      </c>
      <c r="AD25" s="1" t="s">
        <v>1410</v>
      </c>
      <c r="AE25" s="1" t="s">
        <v>1566</v>
      </c>
    </row>
    <row r="26" spans="1:31" x14ac:dyDescent="0.25">
      <c r="A26" s="1" t="s">
        <v>1366</v>
      </c>
      <c r="B26" s="144" t="s">
        <v>1333</v>
      </c>
      <c r="C26" s="1" t="s">
        <v>1372</v>
      </c>
      <c r="E26" s="1">
        <v>5</v>
      </c>
      <c r="F26" s="1">
        <v>15</v>
      </c>
      <c r="G26" s="1">
        <v>1</v>
      </c>
      <c r="I26" s="1">
        <v>20</v>
      </c>
      <c r="J26" s="1">
        <v>0</v>
      </c>
      <c r="M26" s="1">
        <v>1</v>
      </c>
      <c r="N26" s="1" t="s">
        <v>1572</v>
      </c>
      <c r="O26" s="1" t="s">
        <v>1573</v>
      </c>
      <c r="Q26" s="125" t="s">
        <v>615</v>
      </c>
      <c r="R26" s="120" t="s">
        <v>615</v>
      </c>
      <c r="AA26" s="113"/>
      <c r="AC26" s="46">
        <v>1000</v>
      </c>
      <c r="AD26" s="1" t="s">
        <v>1411</v>
      </c>
      <c r="AE26" s="1" t="s">
        <v>1068</v>
      </c>
    </row>
    <row r="27" spans="1:31" x14ac:dyDescent="0.25">
      <c r="A27" s="1" t="s">
        <v>1380</v>
      </c>
      <c r="B27" s="145" t="s">
        <v>1334</v>
      </c>
      <c r="C27" s="1" t="s">
        <v>1373</v>
      </c>
      <c r="E27" s="1">
        <v>5</v>
      </c>
      <c r="F27" s="1">
        <v>15</v>
      </c>
      <c r="G27" s="1">
        <v>1</v>
      </c>
      <c r="I27" s="1">
        <v>20</v>
      </c>
      <c r="J27" s="1">
        <v>0</v>
      </c>
      <c r="M27" s="1">
        <v>1</v>
      </c>
      <c r="N27" s="1" t="s">
        <v>1572</v>
      </c>
      <c r="O27" s="1" t="s">
        <v>1573</v>
      </c>
      <c r="Q27" s="125" t="s">
        <v>615</v>
      </c>
      <c r="R27" s="120" t="s">
        <v>615</v>
      </c>
      <c r="AA27" s="113"/>
      <c r="AC27" s="46">
        <v>1000</v>
      </c>
      <c r="AD27" s="1" t="s">
        <v>1412</v>
      </c>
      <c r="AE27" s="1" t="s">
        <v>1565</v>
      </c>
    </row>
    <row r="28" spans="1:31" x14ac:dyDescent="0.25">
      <c r="A28" s="1" t="s">
        <v>1381</v>
      </c>
      <c r="B28" s="146" t="s">
        <v>1335</v>
      </c>
      <c r="C28" s="1" t="s">
        <v>1374</v>
      </c>
      <c r="E28" s="1">
        <v>5</v>
      </c>
      <c r="F28" s="1">
        <v>15</v>
      </c>
      <c r="G28" s="1">
        <v>1</v>
      </c>
      <c r="I28" s="1">
        <v>20</v>
      </c>
      <c r="J28" s="1">
        <v>0</v>
      </c>
      <c r="M28" s="1">
        <v>1</v>
      </c>
      <c r="N28" s="1" t="s">
        <v>1572</v>
      </c>
      <c r="O28" s="1" t="s">
        <v>1573</v>
      </c>
      <c r="Q28" s="125" t="s">
        <v>615</v>
      </c>
      <c r="R28" s="120" t="s">
        <v>615</v>
      </c>
      <c r="AC28" s="46">
        <v>1000</v>
      </c>
      <c r="AD28" s="1" t="s">
        <v>1578</v>
      </c>
      <c r="AE28" s="1" t="s">
        <v>1568</v>
      </c>
    </row>
    <row r="29" spans="1:31" x14ac:dyDescent="0.25">
      <c r="A29" s="1" t="s">
        <v>1382</v>
      </c>
      <c r="B29" s="147" t="s">
        <v>1336</v>
      </c>
      <c r="C29" s="1" t="s">
        <v>1375</v>
      </c>
      <c r="E29" s="1">
        <v>5</v>
      </c>
      <c r="F29" s="1">
        <v>15</v>
      </c>
      <c r="G29" s="1">
        <v>1</v>
      </c>
      <c r="I29" s="1">
        <v>20</v>
      </c>
      <c r="J29" s="1">
        <v>0</v>
      </c>
      <c r="M29" s="1">
        <v>1</v>
      </c>
      <c r="N29" s="1" t="s">
        <v>1572</v>
      </c>
      <c r="O29" s="1" t="s">
        <v>1573</v>
      </c>
      <c r="Q29" s="125" t="s">
        <v>615</v>
      </c>
      <c r="R29" s="120" t="s">
        <v>615</v>
      </c>
      <c r="AC29" s="46">
        <v>1000</v>
      </c>
      <c r="AD29" s="1" t="s">
        <v>1413</v>
      </c>
      <c r="AE29" s="18" t="s">
        <v>1564</v>
      </c>
    </row>
    <row r="30" spans="1:31" x14ac:dyDescent="0.25">
      <c r="A30" s="1" t="s">
        <v>1385</v>
      </c>
      <c r="B30" s="150" t="s">
        <v>1339</v>
      </c>
      <c r="C30" s="1" t="s">
        <v>1378</v>
      </c>
      <c r="E30" s="1">
        <v>5</v>
      </c>
      <c r="F30" s="1">
        <v>15</v>
      </c>
      <c r="G30" s="1">
        <v>1</v>
      </c>
      <c r="I30" s="1">
        <v>20</v>
      </c>
      <c r="J30" s="1">
        <v>0</v>
      </c>
      <c r="L30" s="18"/>
      <c r="M30" s="1">
        <v>1</v>
      </c>
      <c r="N30" s="1" t="s">
        <v>1572</v>
      </c>
      <c r="O30" s="1" t="s">
        <v>1573</v>
      </c>
      <c r="P30" s="18"/>
      <c r="Q30" s="125" t="s">
        <v>615</v>
      </c>
      <c r="R30" s="120" t="s">
        <v>615</v>
      </c>
      <c r="AC30" s="46">
        <v>1000</v>
      </c>
      <c r="AD30" s="1" t="s">
        <v>1576</v>
      </c>
      <c r="AE30" s="1" t="s">
        <v>1567</v>
      </c>
    </row>
    <row r="31" spans="1:31" x14ac:dyDescent="0.25">
      <c r="A31" s="18" t="s">
        <v>1384</v>
      </c>
      <c r="B31" s="149" t="s">
        <v>1338</v>
      </c>
      <c r="C31" s="1" t="s">
        <v>1377</v>
      </c>
      <c r="E31" s="1">
        <v>9</v>
      </c>
      <c r="F31" s="1">
        <v>15</v>
      </c>
      <c r="G31" s="1">
        <v>1</v>
      </c>
      <c r="I31" s="1">
        <v>20</v>
      </c>
      <c r="J31" s="1">
        <v>0</v>
      </c>
      <c r="M31" s="1">
        <v>1</v>
      </c>
      <c r="N31" s="1" t="s">
        <v>1581</v>
      </c>
      <c r="O31" s="1" t="s">
        <v>1582</v>
      </c>
      <c r="Q31" s="125" t="s">
        <v>615</v>
      </c>
      <c r="R31" s="120" t="s">
        <v>615</v>
      </c>
      <c r="AC31" s="46">
        <v>1000</v>
      </c>
      <c r="AD31" s="1" t="s">
        <v>1575</v>
      </c>
      <c r="AE31" s="18" t="s">
        <v>1569</v>
      </c>
    </row>
    <row r="32" spans="1:31" x14ac:dyDescent="0.25">
      <c r="A32" s="1" t="s">
        <v>1383</v>
      </c>
      <c r="B32" s="148" t="s">
        <v>1337</v>
      </c>
      <c r="C32" s="1" t="s">
        <v>1376</v>
      </c>
      <c r="E32" s="1">
        <v>12</v>
      </c>
      <c r="F32" s="1">
        <v>15</v>
      </c>
      <c r="G32" s="1">
        <v>1</v>
      </c>
      <c r="I32" s="1">
        <v>25</v>
      </c>
      <c r="J32" s="1">
        <v>0</v>
      </c>
      <c r="M32" s="1">
        <v>2</v>
      </c>
      <c r="N32" s="1" t="s">
        <v>1583</v>
      </c>
      <c r="O32" s="1" t="s">
        <v>1584</v>
      </c>
      <c r="Q32" s="125" t="s">
        <v>615</v>
      </c>
      <c r="R32" s="120" t="s">
        <v>615</v>
      </c>
      <c r="S32" s="124"/>
      <c r="AC32" s="46">
        <v>1000</v>
      </c>
      <c r="AD32" s="1" t="s">
        <v>1574</v>
      </c>
      <c r="AE32" s="60" t="s">
        <v>1570</v>
      </c>
    </row>
    <row r="33" spans="1:31" x14ac:dyDescent="0.25">
      <c r="A33" s="1" t="s">
        <v>1386</v>
      </c>
      <c r="B33" s="1" t="s">
        <v>1387</v>
      </c>
      <c r="C33" s="1" t="s">
        <v>1388</v>
      </c>
      <c r="E33" s="1">
        <v>14</v>
      </c>
      <c r="F33" s="1">
        <v>15</v>
      </c>
      <c r="G33" s="1">
        <v>1</v>
      </c>
      <c r="I33" s="1">
        <v>30</v>
      </c>
      <c r="J33" s="1">
        <v>0</v>
      </c>
      <c r="L33" s="18"/>
      <c r="M33" s="1">
        <v>3</v>
      </c>
      <c r="N33" s="1" t="s">
        <v>1585</v>
      </c>
      <c r="O33" s="1" t="s">
        <v>1586</v>
      </c>
      <c r="P33" s="18"/>
      <c r="Q33" s="125" t="s">
        <v>615</v>
      </c>
      <c r="R33" s="120" t="s">
        <v>615</v>
      </c>
      <c r="S33" s="124"/>
      <c r="AC33" s="46">
        <v>1000</v>
      </c>
      <c r="AD33" s="1" t="s">
        <v>1577</v>
      </c>
      <c r="AE33" s="60" t="s">
        <v>1570</v>
      </c>
    </row>
    <row r="34" spans="1:31" x14ac:dyDescent="0.25">
      <c r="L34" s="18"/>
      <c r="M34" s="18"/>
      <c r="N34" s="18"/>
      <c r="O34" s="18"/>
      <c r="P34" s="18"/>
      <c r="S34" s="124"/>
      <c r="AE34" s="60"/>
    </row>
    <row r="35" spans="1:31" x14ac:dyDescent="0.25">
      <c r="Q35" s="1"/>
      <c r="R35" s="1"/>
      <c r="AE35" s="60"/>
    </row>
    <row r="36" spans="1:31" s="25" customFormat="1" x14ac:dyDescent="0.25">
      <c r="Q36" s="152"/>
      <c r="R36" s="153"/>
      <c r="S36" s="153"/>
      <c r="U36" s="154"/>
      <c r="V36" s="155"/>
      <c r="W36" s="156"/>
      <c r="X36" s="157"/>
      <c r="Y36" s="158"/>
      <c r="Z36" s="159"/>
      <c r="AA36" s="160"/>
      <c r="AB36" s="161"/>
      <c r="AC36" s="161"/>
    </row>
    <row r="38" spans="1:31" ht="33.75" x14ac:dyDescent="0.5">
      <c r="A38" s="55" t="s">
        <v>1557</v>
      </c>
    </row>
    <row r="39" spans="1:31" ht="201" x14ac:dyDescent="0.45">
      <c r="A39" s="11" t="s">
        <v>143</v>
      </c>
      <c r="B39" s="11" t="s">
        <v>894</v>
      </c>
      <c r="C39" s="52" t="s">
        <v>975</v>
      </c>
      <c r="D39" s="52" t="s">
        <v>976</v>
      </c>
      <c r="E39" s="130" t="s">
        <v>1322</v>
      </c>
      <c r="F39" s="130" t="s">
        <v>1323</v>
      </c>
      <c r="G39" s="130" t="s">
        <v>1341</v>
      </c>
      <c r="H39" s="130" t="s">
        <v>1342</v>
      </c>
      <c r="I39" s="130" t="s">
        <v>1556</v>
      </c>
      <c r="J39" s="130" t="s">
        <v>1558</v>
      </c>
      <c r="K39" s="130" t="s">
        <v>1348</v>
      </c>
      <c r="L39" s="130" t="s">
        <v>1349</v>
      </c>
      <c r="M39" s="130" t="s">
        <v>1560</v>
      </c>
      <c r="N39" s="130" t="s">
        <v>1561</v>
      </c>
      <c r="O39" s="130" t="s">
        <v>1562</v>
      </c>
      <c r="P39" s="130"/>
      <c r="Q39" s="131" t="s">
        <v>1345</v>
      </c>
      <c r="R39" s="132" t="s">
        <v>1346</v>
      </c>
      <c r="S39" s="132"/>
      <c r="T39" s="133" t="s">
        <v>1401</v>
      </c>
      <c r="U39" s="134" t="s">
        <v>1332</v>
      </c>
      <c r="V39" s="135" t="s">
        <v>1333</v>
      </c>
      <c r="W39" s="136" t="s">
        <v>1334</v>
      </c>
      <c r="X39" s="137" t="s">
        <v>1335</v>
      </c>
      <c r="Y39" s="138" t="s">
        <v>1336</v>
      </c>
      <c r="Z39" s="139" t="s">
        <v>1337</v>
      </c>
      <c r="AA39" s="140" t="s">
        <v>1338</v>
      </c>
      <c r="AB39" s="141" t="s">
        <v>1339</v>
      </c>
      <c r="AC39" s="130" t="s">
        <v>1559</v>
      </c>
      <c r="AD39" s="130" t="s">
        <v>1392</v>
      </c>
    </row>
    <row r="41" spans="1:31" x14ac:dyDescent="0.25">
      <c r="A41" s="1" t="s">
        <v>1327</v>
      </c>
      <c r="B41" s="1" t="s">
        <v>1343</v>
      </c>
      <c r="C41" s="1" t="s">
        <v>1321</v>
      </c>
      <c r="E41" s="1">
        <v>1</v>
      </c>
      <c r="F41" s="1">
        <v>6</v>
      </c>
      <c r="G41" s="1" t="s">
        <v>962</v>
      </c>
      <c r="K41" s="1" t="s">
        <v>1347</v>
      </c>
      <c r="Q41" s="125" t="s">
        <v>615</v>
      </c>
      <c r="T41" s="1" t="s">
        <v>615</v>
      </c>
      <c r="U41" s="91" t="s">
        <v>615</v>
      </c>
      <c r="AD41" s="1" t="s">
        <v>1549</v>
      </c>
    </row>
    <row r="42" spans="1:31" x14ac:dyDescent="0.25">
      <c r="A42" s="1" t="s">
        <v>1415</v>
      </c>
      <c r="B42" s="1" t="s">
        <v>1343</v>
      </c>
      <c r="C42" s="1" t="s">
        <v>1203</v>
      </c>
      <c r="E42" s="1">
        <v>3</v>
      </c>
      <c r="F42" s="1">
        <v>6</v>
      </c>
      <c r="G42" s="1" t="s">
        <v>962</v>
      </c>
      <c r="K42" s="1" t="s">
        <v>1347</v>
      </c>
      <c r="Q42" s="125" t="s">
        <v>615</v>
      </c>
      <c r="T42" s="1" t="s">
        <v>615</v>
      </c>
      <c r="U42" s="91" t="s">
        <v>615</v>
      </c>
      <c r="AD42" s="1" t="s">
        <v>1580</v>
      </c>
    </row>
    <row r="43" spans="1:31" x14ac:dyDescent="0.25">
      <c r="A43" s="1" t="s">
        <v>1416</v>
      </c>
      <c r="B43" s="1" t="s">
        <v>1343</v>
      </c>
      <c r="C43" s="1" t="s">
        <v>1324</v>
      </c>
      <c r="E43" s="1">
        <v>6</v>
      </c>
      <c r="F43" s="1">
        <v>10</v>
      </c>
      <c r="G43" s="1" t="s">
        <v>962</v>
      </c>
      <c r="K43" s="1" t="s">
        <v>1347</v>
      </c>
      <c r="Q43" s="125" t="s">
        <v>615</v>
      </c>
      <c r="T43" s="1" t="s">
        <v>615</v>
      </c>
      <c r="U43" s="91" t="s">
        <v>615</v>
      </c>
      <c r="AD43" s="1" t="s">
        <v>1550</v>
      </c>
    </row>
    <row r="44" spans="1:31" x14ac:dyDescent="0.25">
      <c r="A44" s="1" t="s">
        <v>1417</v>
      </c>
      <c r="B44" s="1" t="s">
        <v>1343</v>
      </c>
      <c r="C44" s="1" t="s">
        <v>44</v>
      </c>
      <c r="E44" s="1">
        <v>8</v>
      </c>
      <c r="F44" s="1">
        <v>15</v>
      </c>
      <c r="G44" s="1" t="s">
        <v>962</v>
      </c>
      <c r="K44" s="1" t="s">
        <v>1347</v>
      </c>
      <c r="Q44" s="125" t="s">
        <v>615</v>
      </c>
      <c r="T44" s="1" t="s">
        <v>615</v>
      </c>
      <c r="U44" s="91" t="s">
        <v>615</v>
      </c>
      <c r="Z44" s="116" t="s">
        <v>615</v>
      </c>
      <c r="AA44" s="113"/>
      <c r="AD44" s="1" t="s">
        <v>1551</v>
      </c>
    </row>
    <row r="45" spans="1:31" x14ac:dyDescent="0.25">
      <c r="A45" s="1" t="s">
        <v>1418</v>
      </c>
      <c r="B45" s="1" t="s">
        <v>1343</v>
      </c>
      <c r="C45" s="1" t="s">
        <v>1354</v>
      </c>
      <c r="E45" s="1">
        <v>10</v>
      </c>
      <c r="F45" s="1">
        <v>15</v>
      </c>
      <c r="G45" s="1" t="s">
        <v>962</v>
      </c>
      <c r="L45" s="1" t="s">
        <v>1347</v>
      </c>
      <c r="Q45" s="125" t="s">
        <v>615</v>
      </c>
      <c r="R45" s="120" t="s">
        <v>615</v>
      </c>
      <c r="T45" s="1" t="s">
        <v>615</v>
      </c>
      <c r="U45" s="91" t="s">
        <v>615</v>
      </c>
      <c r="Z45" s="116" t="s">
        <v>615</v>
      </c>
      <c r="AA45" s="111" t="s">
        <v>615</v>
      </c>
      <c r="AD45" s="1" t="s">
        <v>1549</v>
      </c>
    </row>
    <row r="47" spans="1:31" x14ac:dyDescent="0.25">
      <c r="A47" s="1" t="s">
        <v>1419</v>
      </c>
      <c r="B47" s="1" t="s">
        <v>1343</v>
      </c>
      <c r="C47" s="1" t="s">
        <v>1204</v>
      </c>
      <c r="E47" s="1">
        <v>1</v>
      </c>
      <c r="F47" s="1">
        <v>6</v>
      </c>
      <c r="G47" s="1" t="s">
        <v>961</v>
      </c>
      <c r="K47" s="1" t="s">
        <v>1347</v>
      </c>
      <c r="Q47" s="125" t="s">
        <v>615</v>
      </c>
      <c r="T47" s="1" t="s">
        <v>615</v>
      </c>
      <c r="U47" s="91" t="s">
        <v>615</v>
      </c>
      <c r="AD47" s="1" t="s">
        <v>1550</v>
      </c>
    </row>
    <row r="48" spans="1:31" x14ac:dyDescent="0.25">
      <c r="A48" s="1" t="s">
        <v>1420</v>
      </c>
      <c r="B48" s="1" t="s">
        <v>1343</v>
      </c>
      <c r="C48" s="1" t="s">
        <v>1211</v>
      </c>
      <c r="E48" s="1">
        <v>5</v>
      </c>
      <c r="F48" s="1">
        <v>6</v>
      </c>
      <c r="G48" s="1" t="s">
        <v>961</v>
      </c>
      <c r="K48" s="1" t="s">
        <v>1347</v>
      </c>
      <c r="Q48" s="125" t="s">
        <v>615</v>
      </c>
      <c r="T48" s="1" t="s">
        <v>615</v>
      </c>
      <c r="U48" s="91" t="s">
        <v>615</v>
      </c>
      <c r="AA48" s="113"/>
      <c r="AD48" s="1" t="s">
        <v>1551</v>
      </c>
    </row>
    <row r="49" spans="1:30" x14ac:dyDescent="0.25">
      <c r="A49" s="1" t="s">
        <v>1421</v>
      </c>
      <c r="B49" s="1" t="s">
        <v>1343</v>
      </c>
      <c r="C49" s="1" t="s">
        <v>1220</v>
      </c>
      <c r="E49" s="1">
        <v>6</v>
      </c>
      <c r="F49" s="1">
        <v>10</v>
      </c>
      <c r="G49" s="1" t="s">
        <v>961</v>
      </c>
      <c r="K49" s="1" t="s">
        <v>1347</v>
      </c>
      <c r="Q49" s="125" t="s">
        <v>615</v>
      </c>
      <c r="T49" s="1" t="s">
        <v>615</v>
      </c>
      <c r="U49" s="91" t="s">
        <v>615</v>
      </c>
      <c r="AA49" s="113"/>
      <c r="AD49" s="1" t="s">
        <v>1549</v>
      </c>
    </row>
    <row r="50" spans="1:30" x14ac:dyDescent="0.25">
      <c r="A50" s="1" t="s">
        <v>1423</v>
      </c>
      <c r="B50" s="1" t="s">
        <v>1343</v>
      </c>
      <c r="C50" s="1" t="s">
        <v>1422</v>
      </c>
      <c r="E50" s="1">
        <v>8</v>
      </c>
      <c r="F50" s="1">
        <v>15</v>
      </c>
      <c r="G50" s="1" t="s">
        <v>961</v>
      </c>
      <c r="K50" s="1" t="s">
        <v>1347</v>
      </c>
      <c r="Q50" s="125" t="s">
        <v>615</v>
      </c>
      <c r="T50" s="1" t="s">
        <v>615</v>
      </c>
      <c r="U50" s="91" t="s">
        <v>615</v>
      </c>
      <c r="AA50" s="113"/>
      <c r="AD50" s="1" t="s">
        <v>1580</v>
      </c>
    </row>
    <row r="51" spans="1:30" x14ac:dyDescent="0.25">
      <c r="A51" s="1" t="s">
        <v>1424</v>
      </c>
      <c r="B51" s="1" t="s">
        <v>1343</v>
      </c>
      <c r="C51" s="1" t="s">
        <v>46</v>
      </c>
      <c r="E51" s="1">
        <v>10</v>
      </c>
      <c r="F51" s="1">
        <v>15</v>
      </c>
      <c r="G51" s="1" t="s">
        <v>961</v>
      </c>
      <c r="L51" s="1" t="s">
        <v>1347</v>
      </c>
      <c r="Q51" s="125" t="s">
        <v>615</v>
      </c>
      <c r="R51" s="120" t="s">
        <v>615</v>
      </c>
      <c r="T51" s="1" t="s">
        <v>615</v>
      </c>
      <c r="U51" s="91" t="s">
        <v>615</v>
      </c>
      <c r="V51" s="95" t="s">
        <v>615</v>
      </c>
      <c r="W51" s="103" t="s">
        <v>615</v>
      </c>
      <c r="X51" s="99" t="s">
        <v>615</v>
      </c>
      <c r="Y51" s="107" t="s">
        <v>615</v>
      </c>
      <c r="Z51" s="116" t="s">
        <v>615</v>
      </c>
      <c r="AA51" s="111" t="s">
        <v>615</v>
      </c>
      <c r="AB51" s="114" t="s">
        <v>615</v>
      </c>
      <c r="AD51" s="1" t="s">
        <v>1550</v>
      </c>
    </row>
    <row r="52" spans="1:30" x14ac:dyDescent="0.25">
      <c r="Q52" s="1"/>
      <c r="R52" s="1"/>
      <c r="S52" s="1"/>
      <c r="U52" s="1"/>
      <c r="V52" s="1"/>
      <c r="W52" s="1"/>
      <c r="X52" s="1"/>
      <c r="Y52" s="1"/>
      <c r="Z52" s="1"/>
      <c r="AA52" s="1"/>
      <c r="AB52" s="1"/>
      <c r="AC52" s="1"/>
    </row>
    <row r="53" spans="1:30" x14ac:dyDescent="0.25">
      <c r="A53" s="1" t="s">
        <v>1425</v>
      </c>
      <c r="B53" s="1" t="s">
        <v>1343</v>
      </c>
      <c r="C53" s="1" t="s">
        <v>45</v>
      </c>
      <c r="E53" s="1">
        <v>8</v>
      </c>
      <c r="F53" s="1">
        <v>15</v>
      </c>
      <c r="G53" s="1" t="s">
        <v>961</v>
      </c>
      <c r="K53" s="1" t="s">
        <v>1347</v>
      </c>
      <c r="Q53" s="125" t="s">
        <v>615</v>
      </c>
      <c r="T53" s="1" t="s">
        <v>615</v>
      </c>
      <c r="U53" s="91" t="s">
        <v>615</v>
      </c>
      <c r="Z53" s="116" t="s">
        <v>615</v>
      </c>
      <c r="AA53" s="113"/>
      <c r="AD53" s="1" t="s">
        <v>1549</v>
      </c>
    </row>
    <row r="54" spans="1:30" x14ac:dyDescent="0.25">
      <c r="A54" s="1" t="s">
        <v>1427</v>
      </c>
      <c r="B54" s="1" t="s">
        <v>1343</v>
      </c>
      <c r="C54" s="1" t="s">
        <v>1328</v>
      </c>
      <c r="E54" s="1">
        <v>10</v>
      </c>
      <c r="F54" s="1">
        <v>12</v>
      </c>
      <c r="G54" s="1" t="s">
        <v>960</v>
      </c>
      <c r="Q54" s="125" t="s">
        <v>615</v>
      </c>
      <c r="R54" s="120" t="s">
        <v>615</v>
      </c>
      <c r="T54" s="1" t="s">
        <v>615</v>
      </c>
      <c r="U54" s="91" t="s">
        <v>615</v>
      </c>
      <c r="V54" s="95" t="s">
        <v>615</v>
      </c>
      <c r="W54" s="103" t="s">
        <v>615</v>
      </c>
      <c r="X54" s="99" t="s">
        <v>615</v>
      </c>
      <c r="Y54" s="107" t="s">
        <v>615</v>
      </c>
      <c r="Z54" s="116" t="s">
        <v>615</v>
      </c>
      <c r="AA54" s="111" t="s">
        <v>615</v>
      </c>
      <c r="AB54" s="114" t="s">
        <v>615</v>
      </c>
      <c r="AD54" s="1" t="s">
        <v>1580</v>
      </c>
    </row>
    <row r="55" spans="1:30" x14ac:dyDescent="0.25">
      <c r="A55" s="1" t="s">
        <v>1426</v>
      </c>
      <c r="B55" s="1" t="s">
        <v>1343</v>
      </c>
      <c r="C55" s="1" t="s">
        <v>1350</v>
      </c>
      <c r="E55" s="1">
        <v>12</v>
      </c>
      <c r="F55" s="1">
        <v>15</v>
      </c>
      <c r="G55" s="1" t="s">
        <v>960</v>
      </c>
      <c r="Q55" s="125" t="s">
        <v>615</v>
      </c>
      <c r="R55" s="120" t="s">
        <v>615</v>
      </c>
      <c r="T55" s="1" t="s">
        <v>615</v>
      </c>
      <c r="U55" s="91" t="s">
        <v>615</v>
      </c>
      <c r="V55" s="95" t="s">
        <v>615</v>
      </c>
      <c r="W55" s="103" t="s">
        <v>615</v>
      </c>
      <c r="X55" s="99" t="s">
        <v>615</v>
      </c>
      <c r="Y55" s="107" t="s">
        <v>615</v>
      </c>
      <c r="Z55" s="116" t="s">
        <v>615</v>
      </c>
      <c r="AA55" s="111" t="s">
        <v>615</v>
      </c>
      <c r="AB55" s="114" t="s">
        <v>615</v>
      </c>
      <c r="AD55" s="1" t="s">
        <v>1550</v>
      </c>
    </row>
    <row r="56" spans="1:30" x14ac:dyDescent="0.25">
      <c r="Q56" s="1"/>
      <c r="R56" s="1"/>
      <c r="S56" s="1"/>
      <c r="U56" s="1"/>
      <c r="V56" s="1"/>
      <c r="W56" s="1"/>
      <c r="X56" s="1"/>
      <c r="Y56" s="1"/>
      <c r="Z56" s="1"/>
      <c r="AA56" s="1"/>
      <c r="AB56" s="1"/>
      <c r="AC56" s="1"/>
    </row>
    <row r="57" spans="1:30" x14ac:dyDescent="0.25">
      <c r="A57" s="1" t="s">
        <v>1428</v>
      </c>
      <c r="B57" s="1" t="s">
        <v>1343</v>
      </c>
      <c r="C57" s="1" t="s">
        <v>1329</v>
      </c>
      <c r="E57" s="1">
        <v>10</v>
      </c>
      <c r="F57" s="1">
        <v>15</v>
      </c>
      <c r="G57" s="1" t="s">
        <v>959</v>
      </c>
      <c r="Q57" s="125" t="s">
        <v>615</v>
      </c>
      <c r="R57" s="120" t="s">
        <v>615</v>
      </c>
      <c r="T57" s="1" t="s">
        <v>615</v>
      </c>
      <c r="U57" s="91" t="s">
        <v>615</v>
      </c>
      <c r="V57" s="95" t="s">
        <v>615</v>
      </c>
      <c r="W57" s="103" t="s">
        <v>615</v>
      </c>
      <c r="X57" s="99" t="s">
        <v>615</v>
      </c>
      <c r="Y57" s="107" t="s">
        <v>615</v>
      </c>
      <c r="Z57" s="116" t="s">
        <v>615</v>
      </c>
      <c r="AA57" s="111" t="s">
        <v>615</v>
      </c>
      <c r="AB57" s="114" t="s">
        <v>615</v>
      </c>
      <c r="AD57" s="1" t="s">
        <v>1549</v>
      </c>
    </row>
    <row r="59" spans="1:30" x14ac:dyDescent="0.25">
      <c r="G59" s="18"/>
      <c r="H59" s="18"/>
      <c r="I59" s="18"/>
      <c r="J59" s="18"/>
      <c r="K59" s="18"/>
      <c r="L59" s="18"/>
      <c r="M59" s="18"/>
      <c r="N59" s="18"/>
      <c r="O59" s="18"/>
      <c r="P59" s="18"/>
      <c r="Q59" s="129"/>
      <c r="R59" s="124"/>
      <c r="S59" s="124"/>
      <c r="AA59" s="113"/>
    </row>
    <row r="60" spans="1:30" x14ac:dyDescent="0.25">
      <c r="A60" s="1" t="s">
        <v>1543</v>
      </c>
      <c r="B60" s="1" t="s">
        <v>1343</v>
      </c>
      <c r="C60" s="1" t="s">
        <v>1206</v>
      </c>
      <c r="E60" s="1">
        <v>1</v>
      </c>
      <c r="F60" s="1">
        <v>3</v>
      </c>
      <c r="G60" s="18" t="s">
        <v>963</v>
      </c>
      <c r="H60" s="18"/>
      <c r="I60" s="18"/>
      <c r="J60" s="18"/>
      <c r="K60" s="18" t="s">
        <v>1351</v>
      </c>
      <c r="L60" s="18"/>
      <c r="M60" s="18"/>
      <c r="N60" s="18"/>
      <c r="O60" s="18"/>
      <c r="P60" s="18"/>
      <c r="Q60" s="125" t="s">
        <v>615</v>
      </c>
      <c r="R60" s="124"/>
      <c r="S60" s="124"/>
      <c r="T60" s="1" t="s">
        <v>615</v>
      </c>
      <c r="U60" s="91" t="s">
        <v>615</v>
      </c>
      <c r="V60" s="95" t="s">
        <v>615</v>
      </c>
      <c r="W60" s="103" t="s">
        <v>615</v>
      </c>
      <c r="X60" s="99" t="s">
        <v>615</v>
      </c>
      <c r="Y60" s="107" t="s">
        <v>615</v>
      </c>
      <c r="Z60" s="116" t="s">
        <v>615</v>
      </c>
      <c r="AA60" s="111" t="s">
        <v>615</v>
      </c>
      <c r="AB60" s="114" t="s">
        <v>615</v>
      </c>
      <c r="AD60" s="1" t="s">
        <v>1551</v>
      </c>
    </row>
    <row r="61" spans="1:30" x14ac:dyDescent="0.25">
      <c r="A61" s="1" t="s">
        <v>1544</v>
      </c>
      <c r="B61" s="1" t="s">
        <v>1343</v>
      </c>
      <c r="C61" s="1" t="s">
        <v>1205</v>
      </c>
      <c r="E61" s="1">
        <v>3</v>
      </c>
      <c r="F61" s="1">
        <v>9</v>
      </c>
      <c r="G61" s="18" t="s">
        <v>963</v>
      </c>
      <c r="H61" s="18"/>
      <c r="I61" s="18"/>
      <c r="J61" s="18"/>
      <c r="K61" s="18" t="s">
        <v>1351</v>
      </c>
      <c r="L61" s="18"/>
      <c r="M61" s="18"/>
      <c r="N61" s="18"/>
      <c r="O61" s="18"/>
      <c r="P61" s="18"/>
      <c r="Q61" s="125" t="s">
        <v>615</v>
      </c>
      <c r="R61" s="124"/>
      <c r="S61" s="124"/>
      <c r="T61" s="1" t="s">
        <v>615</v>
      </c>
      <c r="U61" s="91" t="s">
        <v>615</v>
      </c>
      <c r="V61" s="95" t="s">
        <v>615</v>
      </c>
      <c r="W61" s="103" t="s">
        <v>615</v>
      </c>
      <c r="X61" s="99" t="s">
        <v>615</v>
      </c>
      <c r="Y61" s="107" t="s">
        <v>615</v>
      </c>
      <c r="Z61" s="116" t="s">
        <v>615</v>
      </c>
      <c r="AA61" s="111" t="s">
        <v>615</v>
      </c>
      <c r="AB61" s="114" t="s">
        <v>615</v>
      </c>
      <c r="AD61" s="1" t="s">
        <v>1549</v>
      </c>
    </row>
    <row r="62" spans="1:30" x14ac:dyDescent="0.25">
      <c r="A62" s="1" t="s">
        <v>1545</v>
      </c>
      <c r="B62" s="1" t="s">
        <v>1343</v>
      </c>
      <c r="C62" s="1" t="s">
        <v>1330</v>
      </c>
      <c r="E62" s="1">
        <v>3</v>
      </c>
      <c r="F62" s="1">
        <v>6</v>
      </c>
      <c r="G62" s="18" t="s">
        <v>963</v>
      </c>
      <c r="H62" s="18"/>
      <c r="I62" s="18"/>
      <c r="J62" s="18"/>
      <c r="K62" s="18" t="s">
        <v>1359</v>
      </c>
      <c r="L62" s="18"/>
      <c r="M62" s="18"/>
      <c r="N62" s="18"/>
      <c r="O62" s="18"/>
      <c r="P62" s="18"/>
      <c r="Q62" s="125" t="s">
        <v>615</v>
      </c>
      <c r="R62" s="124"/>
      <c r="S62" s="124"/>
      <c r="T62" s="1" t="s">
        <v>615</v>
      </c>
      <c r="U62" s="91" t="s">
        <v>615</v>
      </c>
      <c r="V62" s="95" t="s">
        <v>615</v>
      </c>
      <c r="W62" s="103" t="s">
        <v>615</v>
      </c>
      <c r="X62" s="99" t="s">
        <v>615</v>
      </c>
      <c r="Y62" s="107" t="s">
        <v>615</v>
      </c>
      <c r="Z62" s="116" t="s">
        <v>615</v>
      </c>
      <c r="AA62" s="111" t="s">
        <v>615</v>
      </c>
      <c r="AB62" s="114" t="s">
        <v>615</v>
      </c>
      <c r="AD62" s="1" t="s">
        <v>1580</v>
      </c>
    </row>
    <row r="63" spans="1:30" x14ac:dyDescent="0.25">
      <c r="A63" s="1" t="s">
        <v>1546</v>
      </c>
      <c r="B63" s="1" t="s">
        <v>1343</v>
      </c>
      <c r="C63" s="1" t="s">
        <v>1340</v>
      </c>
      <c r="E63" s="1">
        <v>6</v>
      </c>
      <c r="F63" s="1">
        <v>15</v>
      </c>
      <c r="G63" s="18" t="s">
        <v>963</v>
      </c>
      <c r="H63" s="18"/>
      <c r="I63" s="18"/>
      <c r="J63" s="18"/>
      <c r="K63" s="18" t="s">
        <v>1359</v>
      </c>
      <c r="L63" s="18"/>
      <c r="M63" s="18"/>
      <c r="N63" s="18"/>
      <c r="O63" s="18"/>
      <c r="P63" s="18"/>
      <c r="Q63" s="125" t="s">
        <v>615</v>
      </c>
      <c r="R63" s="124"/>
      <c r="S63" s="124"/>
      <c r="T63" s="1" t="s">
        <v>615</v>
      </c>
      <c r="U63" s="91" t="s">
        <v>615</v>
      </c>
      <c r="V63" s="95" t="s">
        <v>615</v>
      </c>
      <c r="W63" s="103" t="s">
        <v>615</v>
      </c>
      <c r="X63" s="99" t="s">
        <v>615</v>
      </c>
      <c r="Y63" s="107" t="s">
        <v>615</v>
      </c>
      <c r="Z63" s="116" t="s">
        <v>615</v>
      </c>
      <c r="AA63" s="111" t="s">
        <v>615</v>
      </c>
      <c r="AB63" s="114" t="s">
        <v>615</v>
      </c>
      <c r="AD63" s="1" t="s">
        <v>1550</v>
      </c>
    </row>
    <row r="64" spans="1:30" x14ac:dyDescent="0.25">
      <c r="A64" s="1" t="s">
        <v>1547</v>
      </c>
      <c r="B64" s="1" t="s">
        <v>1343</v>
      </c>
      <c r="C64" s="1" t="s">
        <v>1326</v>
      </c>
      <c r="E64" s="1">
        <v>6</v>
      </c>
      <c r="F64" s="1">
        <v>15</v>
      </c>
      <c r="G64" s="18" t="s">
        <v>963</v>
      </c>
      <c r="H64" s="18"/>
      <c r="I64" s="18"/>
      <c r="J64" s="18"/>
      <c r="K64" s="18" t="s">
        <v>1351</v>
      </c>
      <c r="L64" s="18"/>
      <c r="M64" s="18"/>
      <c r="N64" s="18"/>
      <c r="O64" s="18"/>
      <c r="P64" s="18"/>
      <c r="Q64" s="125" t="s">
        <v>615</v>
      </c>
      <c r="R64" s="124"/>
      <c r="S64" s="124"/>
      <c r="T64" s="1" t="s">
        <v>615</v>
      </c>
      <c r="U64" s="91" t="s">
        <v>615</v>
      </c>
      <c r="V64" s="95" t="s">
        <v>615</v>
      </c>
      <c r="W64" s="103" t="s">
        <v>615</v>
      </c>
      <c r="X64" s="99" t="s">
        <v>615</v>
      </c>
      <c r="Y64" s="107" t="s">
        <v>615</v>
      </c>
      <c r="Z64" s="116" t="s">
        <v>615</v>
      </c>
      <c r="AA64" s="111" t="s">
        <v>615</v>
      </c>
      <c r="AB64" s="114" t="s">
        <v>615</v>
      </c>
      <c r="AD64" s="1" t="s">
        <v>1551</v>
      </c>
    </row>
    <row r="65" spans="1:31" x14ac:dyDescent="0.25">
      <c r="A65" s="1" t="s">
        <v>1429</v>
      </c>
      <c r="B65" s="1" t="s">
        <v>1343</v>
      </c>
      <c r="C65" s="1" t="s">
        <v>1325</v>
      </c>
      <c r="E65" s="1">
        <v>7</v>
      </c>
      <c r="F65" s="1">
        <v>15</v>
      </c>
      <c r="G65" s="18" t="s">
        <v>963</v>
      </c>
      <c r="H65" s="18"/>
      <c r="I65" s="18"/>
      <c r="J65" s="18"/>
      <c r="K65" s="18" t="s">
        <v>1360</v>
      </c>
      <c r="L65" s="18"/>
      <c r="M65" s="18"/>
      <c r="N65" s="18"/>
      <c r="O65" s="18"/>
      <c r="P65" s="18"/>
      <c r="Q65" s="125" t="s">
        <v>615</v>
      </c>
      <c r="R65" s="124"/>
      <c r="S65" s="124"/>
      <c r="T65" s="1" t="s">
        <v>615</v>
      </c>
      <c r="U65" s="91" t="s">
        <v>615</v>
      </c>
      <c r="V65" s="95" t="s">
        <v>615</v>
      </c>
      <c r="W65" s="103" t="s">
        <v>615</v>
      </c>
      <c r="X65" s="99" t="s">
        <v>615</v>
      </c>
      <c r="Y65" s="107" t="s">
        <v>615</v>
      </c>
      <c r="Z65" s="116" t="s">
        <v>615</v>
      </c>
      <c r="AA65" s="111" t="s">
        <v>615</v>
      </c>
      <c r="AB65" s="114" t="s">
        <v>615</v>
      </c>
      <c r="AD65" s="1" t="s">
        <v>1549</v>
      </c>
    </row>
    <row r="66" spans="1:31" x14ac:dyDescent="0.25">
      <c r="A66" s="1" t="s">
        <v>1548</v>
      </c>
      <c r="B66" s="1" t="s">
        <v>1343</v>
      </c>
      <c r="C66" s="1" t="s">
        <v>1331</v>
      </c>
      <c r="E66" s="1">
        <v>9</v>
      </c>
      <c r="F66" s="1">
        <v>15</v>
      </c>
      <c r="G66" s="18" t="s">
        <v>963</v>
      </c>
      <c r="H66" s="18"/>
      <c r="I66" s="18"/>
      <c r="J66" s="18"/>
      <c r="K66" s="18"/>
      <c r="L66" s="18"/>
      <c r="M66" s="18"/>
      <c r="N66" s="18"/>
      <c r="O66" s="18"/>
      <c r="P66" s="18"/>
      <c r="Q66" s="129"/>
      <c r="R66" s="120" t="s">
        <v>615</v>
      </c>
      <c r="T66" s="1" t="s">
        <v>615</v>
      </c>
      <c r="U66" s="91" t="s">
        <v>615</v>
      </c>
      <c r="AA66" s="111" t="s">
        <v>615</v>
      </c>
      <c r="AD66" s="1" t="s">
        <v>1580</v>
      </c>
    </row>
    <row r="67" spans="1:31" x14ac:dyDescent="0.25">
      <c r="AE67" s="60"/>
    </row>
    <row r="68" spans="1:31" x14ac:dyDescent="0.25">
      <c r="AE68" s="60"/>
    </row>
    <row r="69" spans="1:31" x14ac:dyDescent="0.25">
      <c r="A69" s="1" t="s">
        <v>1431</v>
      </c>
      <c r="B69" s="1" t="s">
        <v>1343</v>
      </c>
      <c r="C69" s="1" t="s">
        <v>1344</v>
      </c>
      <c r="E69" s="1">
        <v>7</v>
      </c>
      <c r="F69" s="1">
        <v>15</v>
      </c>
      <c r="G69" s="1" t="s">
        <v>964</v>
      </c>
      <c r="K69" s="1" t="s">
        <v>1352</v>
      </c>
      <c r="Q69" s="125" t="s">
        <v>615</v>
      </c>
      <c r="R69" s="120" t="s">
        <v>615</v>
      </c>
      <c r="T69" s="1" t="s">
        <v>615</v>
      </c>
      <c r="U69" s="91" t="s">
        <v>615</v>
      </c>
      <c r="V69" s="95" t="s">
        <v>615</v>
      </c>
      <c r="W69" s="103" t="s">
        <v>615</v>
      </c>
      <c r="X69" s="99" t="s">
        <v>615</v>
      </c>
      <c r="Y69" s="107" t="s">
        <v>615</v>
      </c>
      <c r="Z69" s="116" t="s">
        <v>615</v>
      </c>
      <c r="AA69" s="111" t="s">
        <v>615</v>
      </c>
      <c r="AB69" s="114" t="s">
        <v>615</v>
      </c>
      <c r="AD69" s="1" t="s">
        <v>1549</v>
      </c>
      <c r="AE69" s="60"/>
    </row>
    <row r="70" spans="1:31" x14ac:dyDescent="0.25">
      <c r="A70" s="1" t="s">
        <v>1430</v>
      </c>
      <c r="B70" s="1" t="s">
        <v>1343</v>
      </c>
      <c r="C70" s="1" t="s">
        <v>1331</v>
      </c>
      <c r="E70" s="1">
        <v>9</v>
      </c>
      <c r="F70" s="1">
        <v>15</v>
      </c>
      <c r="G70" s="1" t="s">
        <v>964</v>
      </c>
      <c r="K70" s="1" t="s">
        <v>1352</v>
      </c>
      <c r="Q70" s="125" t="s">
        <v>615</v>
      </c>
      <c r="R70" s="120" t="s">
        <v>615</v>
      </c>
      <c r="T70" s="1" t="s">
        <v>615</v>
      </c>
      <c r="U70" s="91" t="s">
        <v>615</v>
      </c>
      <c r="V70" s="95" t="s">
        <v>615</v>
      </c>
      <c r="W70" s="103" t="s">
        <v>615</v>
      </c>
      <c r="X70" s="99" t="s">
        <v>615</v>
      </c>
      <c r="Y70" s="107" t="s">
        <v>615</v>
      </c>
      <c r="Z70" s="116" t="s">
        <v>615</v>
      </c>
      <c r="AA70" s="111" t="s">
        <v>615</v>
      </c>
      <c r="AB70" s="114" t="s">
        <v>615</v>
      </c>
      <c r="AD70" s="1" t="s">
        <v>1580</v>
      </c>
      <c r="AE70" s="60"/>
    </row>
    <row r="71" spans="1:31" x14ac:dyDescent="0.25">
      <c r="A71" s="1" t="s">
        <v>1432</v>
      </c>
      <c r="B71" s="1" t="s">
        <v>1343</v>
      </c>
      <c r="C71" s="1" t="s">
        <v>1353</v>
      </c>
      <c r="E71" s="1">
        <v>9</v>
      </c>
      <c r="F71" s="1">
        <v>15</v>
      </c>
      <c r="G71" s="1" t="s">
        <v>964</v>
      </c>
      <c r="K71" s="18" t="s">
        <v>1351</v>
      </c>
      <c r="L71" s="1" t="s">
        <v>1352</v>
      </c>
      <c r="Q71" s="125" t="s">
        <v>615</v>
      </c>
      <c r="R71" s="120" t="s">
        <v>615</v>
      </c>
      <c r="T71" s="1" t="s">
        <v>615</v>
      </c>
      <c r="U71" s="91" t="s">
        <v>615</v>
      </c>
      <c r="V71" s="95" t="s">
        <v>615</v>
      </c>
      <c r="W71" s="103" t="s">
        <v>615</v>
      </c>
      <c r="X71" s="99" t="s">
        <v>615</v>
      </c>
      <c r="Y71" s="107" t="s">
        <v>615</v>
      </c>
      <c r="Z71" s="116" t="s">
        <v>615</v>
      </c>
      <c r="AA71" s="111" t="s">
        <v>615</v>
      </c>
      <c r="AB71" s="114" t="s">
        <v>615</v>
      </c>
      <c r="AD71" s="1" t="s">
        <v>1550</v>
      </c>
      <c r="AE71" s="60"/>
    </row>
    <row r="72" spans="1:31" x14ac:dyDescent="0.25">
      <c r="A72" s="1" t="s">
        <v>1433</v>
      </c>
      <c r="B72" s="1" t="s">
        <v>1343</v>
      </c>
      <c r="C72" s="1" t="s">
        <v>1355</v>
      </c>
      <c r="E72" s="1">
        <v>9</v>
      </c>
      <c r="F72" s="1">
        <v>15</v>
      </c>
      <c r="G72" s="1" t="s">
        <v>964</v>
      </c>
      <c r="H72" s="18"/>
      <c r="I72" s="18"/>
      <c r="J72" s="18"/>
      <c r="K72" s="18"/>
      <c r="L72" s="1" t="s">
        <v>1352</v>
      </c>
      <c r="Q72" s="125" t="s">
        <v>615</v>
      </c>
      <c r="R72" s="120" t="s">
        <v>615</v>
      </c>
      <c r="T72" s="1" t="s">
        <v>615</v>
      </c>
      <c r="U72" s="91" t="s">
        <v>615</v>
      </c>
      <c r="V72" s="95" t="s">
        <v>615</v>
      </c>
      <c r="W72" s="103" t="s">
        <v>615</v>
      </c>
      <c r="X72" s="99" t="s">
        <v>615</v>
      </c>
      <c r="Y72" s="107" t="s">
        <v>615</v>
      </c>
      <c r="Z72" s="116" t="s">
        <v>615</v>
      </c>
      <c r="AA72" s="111" t="s">
        <v>615</v>
      </c>
      <c r="AB72" s="114" t="s">
        <v>615</v>
      </c>
      <c r="AD72" s="1" t="s">
        <v>1551</v>
      </c>
      <c r="AE72" s="60"/>
    </row>
    <row r="73" spans="1:31" x14ac:dyDescent="0.25">
      <c r="G73" s="18"/>
      <c r="H73" s="18"/>
      <c r="I73" s="18"/>
      <c r="J73" s="18"/>
      <c r="K73" s="18"/>
      <c r="L73" s="18"/>
      <c r="M73" s="18"/>
      <c r="N73" s="18"/>
      <c r="O73" s="18"/>
      <c r="P73" s="18"/>
      <c r="Q73" s="129"/>
      <c r="R73" s="124"/>
      <c r="S73" s="124"/>
      <c r="AE73" s="60"/>
    </row>
    <row r="74" spans="1:31" x14ac:dyDescent="0.25">
      <c r="G74" s="18"/>
      <c r="H74" s="18"/>
      <c r="I74" s="18"/>
      <c r="J74" s="18"/>
      <c r="K74" s="18"/>
      <c r="L74" s="18"/>
      <c r="M74" s="18"/>
      <c r="N74" s="18"/>
      <c r="O74" s="18"/>
      <c r="P74" s="18"/>
      <c r="Q74" s="129"/>
      <c r="R74" s="124"/>
      <c r="S74" s="124"/>
      <c r="AD74" s="1" t="s">
        <v>1580</v>
      </c>
      <c r="AE74" s="60"/>
    </row>
    <row r="75" spans="1:31" x14ac:dyDescent="0.25">
      <c r="A75" s="1" t="s">
        <v>1554</v>
      </c>
      <c r="B75" s="1" t="s">
        <v>1343</v>
      </c>
      <c r="C75" s="1" t="s">
        <v>1231</v>
      </c>
      <c r="E75" s="1">
        <v>1</v>
      </c>
      <c r="F75" s="1">
        <v>4</v>
      </c>
      <c r="G75" s="1" t="s">
        <v>1024</v>
      </c>
      <c r="H75" s="18"/>
      <c r="I75" s="18"/>
      <c r="J75" s="18"/>
      <c r="K75" s="18"/>
      <c r="L75" s="18"/>
      <c r="M75" s="18"/>
      <c r="N75" s="18"/>
      <c r="O75" s="18"/>
      <c r="P75" s="18"/>
      <c r="Q75" s="125" t="s">
        <v>615</v>
      </c>
      <c r="R75" s="120" t="s">
        <v>615</v>
      </c>
      <c r="T75" s="1" t="s">
        <v>615</v>
      </c>
      <c r="X75" s="99" t="s">
        <v>615</v>
      </c>
      <c r="Z75" s="116" t="s">
        <v>615</v>
      </c>
      <c r="AD75" s="1" t="s">
        <v>1550</v>
      </c>
      <c r="AE75" s="60"/>
    </row>
    <row r="76" spans="1:31" x14ac:dyDescent="0.25">
      <c r="A76" s="1" t="s">
        <v>1555</v>
      </c>
      <c r="B76" s="1" t="s">
        <v>1343</v>
      </c>
      <c r="C76" s="1" t="s">
        <v>1208</v>
      </c>
      <c r="E76" s="1">
        <v>4</v>
      </c>
      <c r="F76" s="1">
        <v>6</v>
      </c>
      <c r="G76" s="1" t="s">
        <v>1024</v>
      </c>
      <c r="H76" s="18"/>
      <c r="I76" s="18"/>
      <c r="J76" s="18"/>
      <c r="K76" s="18"/>
      <c r="L76" s="18"/>
      <c r="M76" s="18"/>
      <c r="N76" s="18"/>
      <c r="O76" s="18"/>
      <c r="P76" s="18"/>
      <c r="Q76" s="125" t="s">
        <v>615</v>
      </c>
      <c r="R76" s="120" t="s">
        <v>615</v>
      </c>
      <c r="T76" s="1" t="s">
        <v>615</v>
      </c>
      <c r="X76" s="99" t="s">
        <v>615</v>
      </c>
      <c r="Z76" s="116" t="s">
        <v>615</v>
      </c>
      <c r="AD76" s="1" t="s">
        <v>1551</v>
      </c>
      <c r="AE76" s="60"/>
    </row>
    <row r="77" spans="1:31" x14ac:dyDescent="0.25">
      <c r="A77" s="1" t="s">
        <v>1552</v>
      </c>
      <c r="B77" s="1" t="s">
        <v>1343</v>
      </c>
      <c r="C77" s="1" t="s">
        <v>1356</v>
      </c>
      <c r="E77" s="1">
        <v>6</v>
      </c>
      <c r="F77" s="1">
        <v>8</v>
      </c>
      <c r="G77" s="1" t="s">
        <v>1024</v>
      </c>
      <c r="H77" s="18"/>
      <c r="I77" s="18"/>
      <c r="J77" s="18"/>
      <c r="K77" s="18"/>
      <c r="L77" s="18"/>
      <c r="M77" s="18"/>
      <c r="N77" s="18"/>
      <c r="O77" s="18"/>
      <c r="P77" s="18"/>
      <c r="Q77" s="125" t="s">
        <v>615</v>
      </c>
      <c r="R77" s="120" t="s">
        <v>615</v>
      </c>
      <c r="T77" s="1" t="s">
        <v>615</v>
      </c>
      <c r="X77" s="99" t="s">
        <v>615</v>
      </c>
      <c r="Z77" s="116" t="s">
        <v>615</v>
      </c>
      <c r="AD77" s="1" t="s">
        <v>1549</v>
      </c>
      <c r="AE77" s="60"/>
    </row>
    <row r="78" spans="1:31" x14ac:dyDescent="0.25">
      <c r="A78" s="1" t="s">
        <v>1553</v>
      </c>
      <c r="B78" s="1" t="s">
        <v>1343</v>
      </c>
      <c r="C78" s="1" t="s">
        <v>1357</v>
      </c>
      <c r="E78" s="1">
        <v>8</v>
      </c>
      <c r="F78" s="1">
        <v>15</v>
      </c>
      <c r="G78" s="1" t="s">
        <v>1024</v>
      </c>
      <c r="H78" s="18"/>
      <c r="I78" s="18"/>
      <c r="J78" s="18"/>
      <c r="K78" s="18"/>
      <c r="L78" s="18"/>
      <c r="M78" s="18"/>
      <c r="N78" s="18"/>
      <c r="O78" s="18"/>
      <c r="P78" s="18"/>
      <c r="Q78" s="125" t="s">
        <v>615</v>
      </c>
      <c r="R78" s="120" t="s">
        <v>615</v>
      </c>
      <c r="T78" s="1" t="s">
        <v>615</v>
      </c>
      <c r="X78" s="99" t="s">
        <v>615</v>
      </c>
      <c r="Z78" s="116" t="s">
        <v>615</v>
      </c>
      <c r="AD78" s="1" t="s">
        <v>1580</v>
      </c>
      <c r="AE78" s="60"/>
    </row>
    <row r="79" spans="1:31" x14ac:dyDescent="0.25">
      <c r="G79" s="18"/>
      <c r="H79" s="18"/>
      <c r="I79" s="18"/>
      <c r="J79" s="18"/>
      <c r="K79" s="18"/>
      <c r="L79" s="18"/>
      <c r="M79" s="18"/>
      <c r="N79" s="18"/>
      <c r="O79" s="18"/>
      <c r="P79" s="18"/>
      <c r="Q79" s="129"/>
      <c r="R79" s="124"/>
      <c r="S79" s="124"/>
      <c r="AE79" s="60"/>
    </row>
    <row r="80" spans="1:31" x14ac:dyDescent="0.25">
      <c r="G80" s="18"/>
      <c r="H80" s="18"/>
      <c r="I80" s="18"/>
      <c r="J80" s="18"/>
      <c r="K80" s="18"/>
      <c r="L80" s="18"/>
      <c r="M80" s="18"/>
      <c r="N80" s="18"/>
      <c r="O80" s="18"/>
      <c r="P80" s="18"/>
      <c r="Q80" s="129"/>
      <c r="R80" s="124"/>
      <c r="S80" s="124"/>
      <c r="AE80" s="60"/>
    </row>
    <row r="81" spans="1:31" x14ac:dyDescent="0.25">
      <c r="A81" s="1" t="s">
        <v>1434</v>
      </c>
      <c r="C81" s="1" t="s">
        <v>1207</v>
      </c>
      <c r="E81" s="1">
        <v>2</v>
      </c>
      <c r="G81" s="1" t="s">
        <v>1134</v>
      </c>
      <c r="H81" s="18"/>
      <c r="I81" s="18"/>
      <c r="J81" s="18"/>
      <c r="K81" s="18"/>
      <c r="L81" s="18"/>
      <c r="M81" s="18"/>
      <c r="N81" s="18"/>
      <c r="O81" s="18"/>
      <c r="P81" s="18"/>
      <c r="Q81" s="129"/>
      <c r="R81" s="124"/>
      <c r="S81" s="124"/>
      <c r="AD81" s="1" t="s">
        <v>1549</v>
      </c>
      <c r="AE81" s="60"/>
    </row>
    <row r="82" spans="1:31" x14ac:dyDescent="0.25">
      <c r="A82" s="1" t="s">
        <v>1435</v>
      </c>
      <c r="C82" s="1" t="s">
        <v>1209</v>
      </c>
      <c r="E82" s="1">
        <v>4</v>
      </c>
      <c r="G82" s="1" t="s">
        <v>1134</v>
      </c>
      <c r="H82" s="18"/>
      <c r="I82" s="18"/>
      <c r="J82" s="18"/>
      <c r="K82" s="18"/>
      <c r="L82" s="18"/>
      <c r="M82" s="18"/>
      <c r="N82" s="18"/>
      <c r="O82" s="18"/>
      <c r="P82" s="18"/>
      <c r="Q82" s="129"/>
      <c r="R82" s="124"/>
      <c r="S82" s="124"/>
      <c r="AD82" s="1" t="s">
        <v>1580</v>
      </c>
      <c r="AE82" s="60"/>
    </row>
    <row r="83" spans="1:31" x14ac:dyDescent="0.25">
      <c r="A83" s="1" t="s">
        <v>1436</v>
      </c>
      <c r="C83" s="1" t="s">
        <v>1358</v>
      </c>
      <c r="G83" s="1" t="s">
        <v>1129</v>
      </c>
      <c r="H83" s="18"/>
      <c r="I83" s="18"/>
      <c r="J83" s="18"/>
      <c r="K83" s="18"/>
      <c r="L83" s="18"/>
      <c r="M83" s="18"/>
      <c r="N83" s="18"/>
      <c r="O83" s="18"/>
      <c r="P83" s="18"/>
      <c r="Q83" s="129"/>
      <c r="R83" s="124"/>
      <c r="S83" s="124"/>
      <c r="AD83" s="1" t="s">
        <v>1550</v>
      </c>
      <c r="AE83" s="60"/>
    </row>
    <row r="84" spans="1:31" x14ac:dyDescent="0.25">
      <c r="G84" s="1" t="s">
        <v>1130</v>
      </c>
      <c r="H84" s="18"/>
      <c r="I84" s="18"/>
      <c r="J84" s="18"/>
      <c r="K84" s="18"/>
      <c r="L84" s="18"/>
      <c r="M84" s="18"/>
      <c r="N84" s="18"/>
      <c r="O84" s="18"/>
      <c r="P84" s="18"/>
      <c r="Q84" s="129"/>
      <c r="R84" s="124"/>
      <c r="S84" s="124"/>
      <c r="AD84" s="1" t="s">
        <v>1551</v>
      </c>
      <c r="AE84" s="60"/>
    </row>
    <row r="85" spans="1:31" x14ac:dyDescent="0.25">
      <c r="G85" s="1" t="s">
        <v>1131</v>
      </c>
      <c r="H85" s="18"/>
      <c r="I85" s="18"/>
      <c r="J85" s="18"/>
      <c r="K85" s="18"/>
      <c r="L85" s="18"/>
      <c r="M85" s="18"/>
      <c r="N85" s="18"/>
      <c r="O85" s="18"/>
      <c r="P85" s="18"/>
      <c r="Q85" s="129"/>
      <c r="R85" s="124"/>
      <c r="S85" s="124"/>
      <c r="AD85" s="1" t="s">
        <v>1549</v>
      </c>
      <c r="AE85" s="60"/>
    </row>
    <row r="86" spans="1:31" x14ac:dyDescent="0.25">
      <c r="G86" s="1" t="s">
        <v>1132</v>
      </c>
      <c r="H86" s="18"/>
      <c r="I86" s="18"/>
      <c r="J86" s="18"/>
      <c r="K86" s="18"/>
      <c r="L86" s="18"/>
      <c r="M86" s="18"/>
      <c r="N86" s="18"/>
      <c r="O86" s="18"/>
      <c r="P86" s="18"/>
      <c r="Q86" s="129"/>
      <c r="R86" s="124"/>
      <c r="S86" s="124"/>
      <c r="AD86" s="1" t="s">
        <v>1580</v>
      </c>
      <c r="AE86" s="60"/>
    </row>
    <row r="87" spans="1:31" x14ac:dyDescent="0.25">
      <c r="G87" s="1" t="s">
        <v>1133</v>
      </c>
      <c r="H87" s="18"/>
      <c r="I87" s="18"/>
      <c r="J87" s="18"/>
      <c r="K87" s="18"/>
      <c r="L87" s="18"/>
      <c r="M87" s="18"/>
      <c r="N87" s="18"/>
      <c r="O87" s="18"/>
      <c r="P87" s="18"/>
      <c r="Q87" s="129"/>
      <c r="R87" s="124"/>
      <c r="S87" s="124"/>
      <c r="AD87" s="1" t="s">
        <v>1550</v>
      </c>
      <c r="AE87" s="60"/>
    </row>
    <row r="88" spans="1:31" x14ac:dyDescent="0.25">
      <c r="G88" s="18"/>
      <c r="H88" s="18"/>
      <c r="I88" s="18"/>
      <c r="J88" s="18"/>
      <c r="K88" s="18"/>
      <c r="L88" s="18"/>
      <c r="M88" s="18"/>
      <c r="N88" s="18"/>
      <c r="O88" s="18"/>
      <c r="P88" s="18"/>
      <c r="Q88" s="129"/>
      <c r="R88" s="124"/>
      <c r="S88" s="124"/>
      <c r="AE88" s="60"/>
    </row>
    <row r="89" spans="1:31" x14ac:dyDescent="0.25">
      <c r="AE89" s="60"/>
    </row>
    <row r="90" spans="1:31" x14ac:dyDescent="0.25">
      <c r="G90" s="18"/>
      <c r="H90" s="18"/>
      <c r="I90" s="18"/>
      <c r="J90" s="18"/>
      <c r="K90" s="18"/>
      <c r="L90" s="18"/>
      <c r="M90" s="18"/>
      <c r="N90" s="18"/>
      <c r="O90" s="18"/>
      <c r="P90" s="18"/>
      <c r="Q90" s="129"/>
      <c r="R90" s="124"/>
      <c r="S90" s="124"/>
      <c r="AE90" s="60"/>
    </row>
    <row r="92" spans="1:31" x14ac:dyDescent="0.25">
      <c r="G92" s="18"/>
      <c r="H92" s="18"/>
      <c r="I92" s="18"/>
      <c r="J92" s="18"/>
      <c r="K92" s="18"/>
      <c r="L92" s="18"/>
      <c r="M92" s="18"/>
      <c r="N92" s="18"/>
      <c r="O92" s="18"/>
      <c r="P92" s="18"/>
      <c r="Q92" s="129"/>
      <c r="R92" s="124"/>
      <c r="S92" s="124"/>
      <c r="AE92" s="60"/>
    </row>
    <row r="93" spans="1:31" x14ac:dyDescent="0.25">
      <c r="H93" s="18"/>
      <c r="I93" s="18"/>
      <c r="J93" s="18"/>
      <c r="K93" s="18"/>
      <c r="L93" s="18"/>
      <c r="M93" s="18"/>
      <c r="N93" s="18"/>
      <c r="O93" s="18"/>
      <c r="P93" s="18"/>
      <c r="Q93" s="129"/>
      <c r="R93" s="124"/>
      <c r="S93" s="124"/>
      <c r="AE93" s="60"/>
    </row>
    <row r="94" spans="1:31" x14ac:dyDescent="0.25">
      <c r="AE94" s="60"/>
    </row>
    <row r="95" spans="1:31" x14ac:dyDescent="0.25">
      <c r="G95" s="18"/>
      <c r="H95" s="18"/>
      <c r="I95" s="18"/>
      <c r="J95" s="18"/>
      <c r="K95" s="18"/>
      <c r="L95" s="18"/>
      <c r="M95" s="18"/>
      <c r="N95" s="18"/>
      <c r="O95" s="18"/>
      <c r="P95" s="18"/>
      <c r="Q95" s="129"/>
      <c r="R95" s="124"/>
      <c r="S95" s="124"/>
      <c r="AE95" s="60"/>
    </row>
    <row r="96" spans="1:31" x14ac:dyDescent="0.25">
      <c r="H96" s="18"/>
      <c r="I96" s="18"/>
      <c r="J96" s="18"/>
      <c r="K96" s="18"/>
      <c r="L96" s="18"/>
      <c r="M96" s="18"/>
      <c r="N96" s="18"/>
      <c r="O96" s="18"/>
      <c r="P96" s="18"/>
      <c r="Q96" s="129"/>
      <c r="R96" s="124"/>
      <c r="S96" s="124"/>
      <c r="AE96" s="60"/>
    </row>
    <row r="97" spans="1:31" x14ac:dyDescent="0.25">
      <c r="AE97" s="60"/>
    </row>
    <row r="98" spans="1:31" x14ac:dyDescent="0.25">
      <c r="A98" s="1" t="s">
        <v>1437</v>
      </c>
      <c r="C98" s="1" t="s">
        <v>1210</v>
      </c>
      <c r="E98" s="1">
        <v>1</v>
      </c>
      <c r="G98" s="18" t="s">
        <v>1193</v>
      </c>
      <c r="H98" s="18"/>
      <c r="I98" s="18"/>
      <c r="J98" s="18"/>
      <c r="K98" s="18"/>
      <c r="L98" s="18"/>
      <c r="M98" s="18"/>
      <c r="N98" s="18"/>
      <c r="O98" s="18"/>
      <c r="P98" s="18"/>
      <c r="Q98" s="129"/>
      <c r="R98" s="124"/>
      <c r="S98" s="124"/>
      <c r="AA98" s="113"/>
      <c r="AD98" s="1" t="s">
        <v>1580</v>
      </c>
    </row>
    <row r="99" spans="1:31" x14ac:dyDescent="0.25">
      <c r="A99" s="1" t="s">
        <v>1438</v>
      </c>
      <c r="C99" s="1" t="s">
        <v>1212</v>
      </c>
      <c r="E99" s="1">
        <v>4</v>
      </c>
      <c r="G99" s="18" t="s">
        <v>1193</v>
      </c>
      <c r="H99" s="18"/>
      <c r="I99" s="18"/>
      <c r="J99" s="18"/>
      <c r="K99" s="18"/>
      <c r="L99" s="18"/>
      <c r="M99" s="18"/>
      <c r="N99" s="18"/>
      <c r="O99" s="18"/>
      <c r="P99" s="18"/>
      <c r="Q99" s="129"/>
      <c r="R99" s="124"/>
      <c r="S99" s="124"/>
      <c r="AA99" s="113"/>
      <c r="AD99" s="1" t="s">
        <v>1550</v>
      </c>
    </row>
    <row r="100" spans="1:31" x14ac:dyDescent="0.25">
      <c r="A100" s="1" t="s">
        <v>1439</v>
      </c>
      <c r="C100" s="1" t="s">
        <v>1213</v>
      </c>
      <c r="E100" s="1">
        <v>6</v>
      </c>
      <c r="G100" s="18" t="s">
        <v>1193</v>
      </c>
      <c r="H100" s="18"/>
      <c r="I100" s="18"/>
      <c r="J100" s="18"/>
      <c r="K100" s="18"/>
      <c r="L100" s="18"/>
      <c r="M100" s="18"/>
      <c r="N100" s="18"/>
      <c r="O100" s="18"/>
      <c r="P100" s="18"/>
      <c r="Q100" s="129"/>
      <c r="R100" s="124"/>
      <c r="S100" s="124"/>
      <c r="AA100" s="113"/>
      <c r="AD100" s="1" t="s">
        <v>1551</v>
      </c>
    </row>
    <row r="101" spans="1:31" x14ac:dyDescent="0.25">
      <c r="A101" s="1" t="s">
        <v>1440</v>
      </c>
      <c r="C101" s="1" t="s">
        <v>1248</v>
      </c>
      <c r="E101" s="1">
        <v>8</v>
      </c>
      <c r="G101" s="18" t="s">
        <v>1188</v>
      </c>
      <c r="H101" s="18"/>
      <c r="I101" s="18"/>
      <c r="J101" s="18"/>
      <c r="K101" s="18"/>
      <c r="L101" s="18"/>
      <c r="M101" s="18"/>
      <c r="N101" s="18"/>
      <c r="O101" s="18"/>
      <c r="P101" s="18"/>
      <c r="Q101" s="129"/>
      <c r="R101" s="124"/>
      <c r="S101" s="124"/>
      <c r="AA101" s="113"/>
      <c r="AD101" s="1" t="s">
        <v>1549</v>
      </c>
    </row>
    <row r="102" spans="1:31" x14ac:dyDescent="0.25">
      <c r="AA102" s="113"/>
    </row>
    <row r="104" spans="1:31" x14ac:dyDescent="0.25">
      <c r="A104" s="1" t="s">
        <v>1441</v>
      </c>
      <c r="C104" s="1" t="s">
        <v>1214</v>
      </c>
      <c r="G104" s="1" t="s">
        <v>891</v>
      </c>
      <c r="AD104" s="1" t="s">
        <v>1551</v>
      </c>
    </row>
    <row r="106" spans="1:31" x14ac:dyDescent="0.25">
      <c r="A106" s="1" t="s">
        <v>1442</v>
      </c>
      <c r="C106" s="1" t="s">
        <v>1215</v>
      </c>
      <c r="E106" s="1">
        <v>7</v>
      </c>
      <c r="G106" s="1" t="s">
        <v>893</v>
      </c>
      <c r="AD106" s="1" t="s">
        <v>1580</v>
      </c>
    </row>
    <row r="108" spans="1:31" x14ac:dyDescent="0.25">
      <c r="A108" s="1" t="s">
        <v>1443</v>
      </c>
      <c r="C108" s="1" t="s">
        <v>1216</v>
      </c>
      <c r="E108" s="1">
        <v>2</v>
      </c>
      <c r="G108" s="18" t="s">
        <v>957</v>
      </c>
      <c r="H108" s="18"/>
      <c r="I108" s="18"/>
      <c r="J108" s="18"/>
      <c r="K108" s="18"/>
      <c r="L108" s="18"/>
      <c r="M108" s="18"/>
      <c r="N108" s="18"/>
      <c r="O108" s="18"/>
      <c r="P108" s="18"/>
      <c r="Q108" s="129"/>
      <c r="R108" s="124"/>
      <c r="S108" s="124"/>
      <c r="AD108" s="1" t="s">
        <v>1551</v>
      </c>
    </row>
    <row r="110" spans="1:31" x14ac:dyDescent="0.25">
      <c r="A110" s="1" t="s">
        <v>1444</v>
      </c>
      <c r="C110" s="1" t="s">
        <v>1217</v>
      </c>
      <c r="E110" s="1">
        <v>1</v>
      </c>
      <c r="G110" s="1" t="s">
        <v>1022</v>
      </c>
      <c r="AA110" s="113"/>
      <c r="AD110" s="1" t="s">
        <v>1580</v>
      </c>
    </row>
    <row r="111" spans="1:31" x14ac:dyDescent="0.25">
      <c r="A111" s="1" t="s">
        <v>1445</v>
      </c>
      <c r="C111" s="1" t="s">
        <v>1218</v>
      </c>
      <c r="E111" s="1">
        <v>4</v>
      </c>
      <c r="G111" s="1" t="s">
        <v>1022</v>
      </c>
      <c r="AA111" s="113"/>
      <c r="AD111" s="1" t="s">
        <v>1550</v>
      </c>
    </row>
    <row r="112" spans="1:31" x14ac:dyDescent="0.25">
      <c r="A112" s="1" t="s">
        <v>1446</v>
      </c>
      <c r="C112" s="1" t="s">
        <v>1219</v>
      </c>
      <c r="E112" s="1">
        <v>6</v>
      </c>
      <c r="G112" s="1" t="s">
        <v>1022</v>
      </c>
      <c r="AD112" s="1" t="s">
        <v>1551</v>
      </c>
    </row>
    <row r="113" spans="1:30" x14ac:dyDescent="0.25">
      <c r="AA113" s="113"/>
    </row>
    <row r="114" spans="1:30" x14ac:dyDescent="0.25">
      <c r="A114" s="1" t="s">
        <v>1447</v>
      </c>
      <c r="C114" s="1" t="s">
        <v>1221</v>
      </c>
      <c r="E114" s="1">
        <v>6</v>
      </c>
      <c r="G114" s="18" t="s">
        <v>404</v>
      </c>
      <c r="H114" s="18"/>
      <c r="I114" s="18"/>
      <c r="J114" s="18"/>
      <c r="K114" s="18"/>
      <c r="L114" s="18"/>
      <c r="M114" s="18"/>
      <c r="N114" s="18"/>
      <c r="O114" s="18"/>
      <c r="P114" s="18"/>
      <c r="Q114" s="129"/>
      <c r="R114" s="124"/>
      <c r="S114" s="124"/>
      <c r="AD114" s="1" t="s">
        <v>1580</v>
      </c>
    </row>
    <row r="115" spans="1:30" x14ac:dyDescent="0.25">
      <c r="A115" s="1" t="s">
        <v>1448</v>
      </c>
      <c r="C115" s="1" t="s">
        <v>1247</v>
      </c>
      <c r="E115" s="1">
        <v>8</v>
      </c>
      <c r="G115" s="18" t="s">
        <v>404</v>
      </c>
      <c r="H115" s="18"/>
      <c r="I115" s="18"/>
      <c r="J115" s="18"/>
      <c r="K115" s="18"/>
      <c r="L115" s="18"/>
      <c r="M115" s="18"/>
      <c r="N115" s="18"/>
      <c r="O115" s="18"/>
      <c r="P115" s="18"/>
      <c r="Q115" s="129"/>
      <c r="R115" s="124"/>
      <c r="S115" s="124"/>
      <c r="AA115" s="113"/>
      <c r="AD115" s="1" t="s">
        <v>1550</v>
      </c>
    </row>
    <row r="116" spans="1:30" x14ac:dyDescent="0.25">
      <c r="AA116" s="113"/>
    </row>
    <row r="117" spans="1:30" x14ac:dyDescent="0.25">
      <c r="A117" s="1" t="s">
        <v>1449</v>
      </c>
      <c r="C117" s="1" t="s">
        <v>1223</v>
      </c>
      <c r="E117" s="1">
        <v>3</v>
      </c>
      <c r="G117" s="18" t="s">
        <v>402</v>
      </c>
      <c r="H117" s="18"/>
      <c r="I117" s="18"/>
      <c r="J117" s="18"/>
      <c r="K117" s="18"/>
      <c r="L117" s="18"/>
      <c r="M117" s="18"/>
      <c r="N117" s="18"/>
      <c r="O117" s="18"/>
      <c r="P117" s="18"/>
      <c r="Q117" s="129"/>
      <c r="R117" s="124"/>
      <c r="S117" s="124"/>
      <c r="AA117" s="113"/>
      <c r="AD117" s="1" t="s">
        <v>1549</v>
      </c>
    </row>
    <row r="118" spans="1:30" x14ac:dyDescent="0.25">
      <c r="A118" s="1" t="s">
        <v>1450</v>
      </c>
      <c r="C118" s="1" t="s">
        <v>1224</v>
      </c>
      <c r="E118" s="1">
        <v>5</v>
      </c>
      <c r="G118" s="18" t="s">
        <v>402</v>
      </c>
      <c r="H118" s="18"/>
      <c r="I118" s="18"/>
      <c r="J118" s="18"/>
      <c r="K118" s="18"/>
      <c r="L118" s="18"/>
      <c r="M118" s="18"/>
      <c r="N118" s="18"/>
      <c r="O118" s="18"/>
      <c r="P118" s="18"/>
      <c r="Q118" s="129"/>
      <c r="R118" s="124"/>
      <c r="S118" s="124"/>
      <c r="AA118" s="113"/>
      <c r="AD118" s="1" t="s">
        <v>1580</v>
      </c>
    </row>
    <row r="119" spans="1:30" x14ac:dyDescent="0.25">
      <c r="A119" s="1" t="s">
        <v>1451</v>
      </c>
      <c r="C119" s="1" t="s">
        <v>1222</v>
      </c>
      <c r="E119" s="1">
        <v>6</v>
      </c>
      <c r="G119" s="18" t="s">
        <v>402</v>
      </c>
      <c r="H119" s="18"/>
      <c r="I119" s="18"/>
      <c r="J119" s="18"/>
      <c r="K119" s="18"/>
      <c r="L119" s="18"/>
      <c r="M119" s="18"/>
      <c r="N119" s="18"/>
      <c r="O119" s="18"/>
      <c r="P119" s="18"/>
      <c r="Q119" s="129"/>
      <c r="R119" s="124"/>
      <c r="S119" s="124"/>
      <c r="AA119" s="113"/>
      <c r="AD119" s="1" t="s">
        <v>1550</v>
      </c>
    </row>
    <row r="120" spans="1:30" x14ac:dyDescent="0.25">
      <c r="AA120" s="113"/>
    </row>
    <row r="121" spans="1:30" x14ac:dyDescent="0.25">
      <c r="A121" s="1" t="s">
        <v>1452</v>
      </c>
      <c r="C121" s="1" t="s">
        <v>1225</v>
      </c>
      <c r="E121" s="1">
        <v>5</v>
      </c>
      <c r="G121" s="18" t="s">
        <v>403</v>
      </c>
      <c r="H121" s="18"/>
      <c r="I121" s="18"/>
      <c r="J121" s="18"/>
      <c r="K121" s="18"/>
      <c r="L121" s="18"/>
      <c r="M121" s="18"/>
      <c r="N121" s="18"/>
      <c r="O121" s="18"/>
      <c r="P121" s="18"/>
      <c r="Q121" s="129"/>
      <c r="R121" s="124"/>
      <c r="S121" s="124"/>
      <c r="AD121" s="1" t="s">
        <v>1549</v>
      </c>
    </row>
    <row r="122" spans="1:30" x14ac:dyDescent="0.25">
      <c r="A122" s="1" t="s">
        <v>1453</v>
      </c>
      <c r="C122" s="1" t="s">
        <v>1226</v>
      </c>
      <c r="E122" s="1">
        <v>6</v>
      </c>
      <c r="G122" s="18" t="s">
        <v>403</v>
      </c>
      <c r="H122" s="18"/>
      <c r="I122" s="18"/>
      <c r="J122" s="18"/>
      <c r="K122" s="18"/>
      <c r="L122" s="18"/>
      <c r="M122" s="18"/>
      <c r="N122" s="18"/>
      <c r="O122" s="18"/>
      <c r="P122" s="18"/>
      <c r="Q122" s="129"/>
      <c r="R122" s="124"/>
      <c r="S122" s="124"/>
      <c r="AA122" s="113"/>
      <c r="AD122" s="1" t="s">
        <v>1580</v>
      </c>
    </row>
    <row r="123" spans="1:30" x14ac:dyDescent="0.25">
      <c r="A123" s="1" t="s">
        <v>1454</v>
      </c>
      <c r="C123" s="1" t="s">
        <v>1227</v>
      </c>
      <c r="E123" s="1">
        <v>8</v>
      </c>
      <c r="G123" s="18" t="s">
        <v>403</v>
      </c>
      <c r="H123" s="18"/>
      <c r="I123" s="18"/>
      <c r="J123" s="18"/>
      <c r="K123" s="18"/>
      <c r="L123" s="18"/>
      <c r="M123" s="18"/>
      <c r="N123" s="18"/>
      <c r="O123" s="18"/>
      <c r="P123" s="18"/>
      <c r="Q123" s="129"/>
      <c r="R123" s="124"/>
      <c r="S123" s="124"/>
      <c r="AD123" s="1" t="s">
        <v>1550</v>
      </c>
    </row>
    <row r="125" spans="1:30" x14ac:dyDescent="0.25">
      <c r="A125" s="1" t="s">
        <v>1455</v>
      </c>
      <c r="C125" s="1" t="s">
        <v>1228</v>
      </c>
      <c r="E125" s="1">
        <v>7</v>
      </c>
      <c r="G125" s="18" t="s">
        <v>411</v>
      </c>
      <c r="H125" s="18"/>
      <c r="I125" s="18"/>
      <c r="J125" s="18"/>
      <c r="K125" s="18"/>
      <c r="L125" s="18"/>
      <c r="M125" s="18"/>
      <c r="N125" s="18"/>
      <c r="O125" s="18"/>
      <c r="P125" s="18"/>
      <c r="Q125" s="129"/>
      <c r="R125" s="124"/>
      <c r="S125" s="124"/>
      <c r="AD125" s="1" t="s">
        <v>1549</v>
      </c>
    </row>
    <row r="126" spans="1:30" x14ac:dyDescent="0.25">
      <c r="A126" s="1" t="s">
        <v>1456</v>
      </c>
      <c r="C126" s="1" t="s">
        <v>1229</v>
      </c>
      <c r="E126" s="1">
        <v>9</v>
      </c>
      <c r="G126" s="18" t="s">
        <v>411</v>
      </c>
      <c r="H126" s="18"/>
      <c r="I126" s="18"/>
      <c r="J126" s="18"/>
      <c r="K126" s="18"/>
      <c r="L126" s="18"/>
      <c r="M126" s="18"/>
      <c r="N126" s="18"/>
      <c r="O126" s="18"/>
      <c r="P126" s="18"/>
      <c r="Q126" s="129"/>
      <c r="R126" s="124"/>
      <c r="S126" s="124"/>
      <c r="AD126" s="1" t="s">
        <v>1580</v>
      </c>
    </row>
    <row r="128" spans="1:30" x14ac:dyDescent="0.25">
      <c r="A128" s="1" t="s">
        <v>1457</v>
      </c>
      <c r="C128" s="1" t="s">
        <v>1230</v>
      </c>
      <c r="E128" s="1">
        <v>6</v>
      </c>
      <c r="G128" s="18" t="s">
        <v>392</v>
      </c>
      <c r="H128" s="18"/>
      <c r="I128" s="18"/>
      <c r="J128" s="18"/>
      <c r="K128" s="18"/>
      <c r="L128" s="18"/>
      <c r="M128" s="18"/>
      <c r="N128" s="18"/>
      <c r="O128" s="18"/>
      <c r="P128" s="18"/>
      <c r="Q128" s="129"/>
      <c r="R128" s="124"/>
      <c r="S128" s="124"/>
      <c r="AD128" s="1" t="s">
        <v>1551</v>
      </c>
    </row>
    <row r="129" spans="1:30" x14ac:dyDescent="0.25">
      <c r="G129" s="18"/>
      <c r="H129" s="18"/>
      <c r="I129" s="18"/>
      <c r="J129" s="18"/>
      <c r="K129" s="18"/>
      <c r="L129" s="18"/>
      <c r="M129" s="18"/>
      <c r="N129" s="18"/>
      <c r="O129" s="18"/>
      <c r="P129" s="18"/>
      <c r="Q129" s="129"/>
      <c r="R129" s="124"/>
      <c r="S129" s="124"/>
    </row>
    <row r="130" spans="1:30" x14ac:dyDescent="0.25">
      <c r="A130" s="1" t="s">
        <v>1458</v>
      </c>
      <c r="C130" s="1" t="s">
        <v>1233</v>
      </c>
      <c r="E130" s="1">
        <v>5</v>
      </c>
      <c r="G130" s="18" t="s">
        <v>979</v>
      </c>
      <c r="H130" s="18"/>
      <c r="I130" s="18"/>
      <c r="J130" s="18"/>
      <c r="K130" s="18"/>
      <c r="L130" s="18"/>
      <c r="M130" s="18"/>
      <c r="N130" s="18"/>
      <c r="O130" s="18"/>
      <c r="P130" s="18"/>
      <c r="Q130" s="129"/>
      <c r="R130" s="124"/>
      <c r="S130" s="124"/>
      <c r="AD130" s="1" t="s">
        <v>1580</v>
      </c>
    </row>
    <row r="131" spans="1:30" x14ac:dyDescent="0.25">
      <c r="A131" s="1" t="s">
        <v>1459</v>
      </c>
      <c r="C131" s="1" t="s">
        <v>1232</v>
      </c>
      <c r="E131" s="1">
        <v>7</v>
      </c>
      <c r="G131" s="18" t="s">
        <v>979</v>
      </c>
      <c r="H131" s="18"/>
      <c r="I131" s="18"/>
      <c r="J131" s="18"/>
      <c r="K131" s="18"/>
      <c r="L131" s="18"/>
      <c r="M131" s="18"/>
      <c r="N131" s="18"/>
      <c r="O131" s="18"/>
      <c r="P131" s="18"/>
      <c r="Q131" s="129"/>
      <c r="R131" s="124"/>
      <c r="S131" s="124"/>
      <c r="AD131" s="1" t="s">
        <v>1550</v>
      </c>
    </row>
    <row r="132" spans="1:30" x14ac:dyDescent="0.25">
      <c r="G132" s="18"/>
      <c r="H132" s="18"/>
      <c r="I132" s="18"/>
      <c r="J132" s="18"/>
      <c r="K132" s="18"/>
      <c r="L132" s="18"/>
      <c r="M132" s="18"/>
      <c r="N132" s="18"/>
      <c r="O132" s="18"/>
      <c r="P132" s="18"/>
      <c r="Q132" s="129"/>
      <c r="R132" s="124"/>
      <c r="S132" s="124"/>
    </row>
    <row r="133" spans="1:30" x14ac:dyDescent="0.25">
      <c r="A133" s="1" t="s">
        <v>1460</v>
      </c>
      <c r="C133" s="1" t="s">
        <v>1235</v>
      </c>
      <c r="E133" s="1">
        <v>5</v>
      </c>
      <c r="G133" s="18" t="s">
        <v>1016</v>
      </c>
      <c r="H133" s="18"/>
      <c r="I133" s="18"/>
      <c r="J133" s="18"/>
      <c r="K133" s="18"/>
      <c r="L133" s="18"/>
      <c r="M133" s="18"/>
      <c r="N133" s="18"/>
      <c r="O133" s="18"/>
      <c r="P133" s="18"/>
      <c r="Q133" s="129"/>
      <c r="R133" s="124"/>
      <c r="S133" s="124"/>
      <c r="AD133" s="1" t="s">
        <v>1549</v>
      </c>
    </row>
    <row r="134" spans="1:30" x14ac:dyDescent="0.25">
      <c r="A134" s="1" t="s">
        <v>1461</v>
      </c>
      <c r="C134" s="1" t="s">
        <v>1236</v>
      </c>
      <c r="E134" s="1">
        <v>5</v>
      </c>
      <c r="G134" s="1" t="s">
        <v>1241</v>
      </c>
      <c r="AD134" s="1" t="s">
        <v>1580</v>
      </c>
    </row>
    <row r="135" spans="1:30" x14ac:dyDescent="0.25">
      <c r="R135" s="113" t="s">
        <v>589</v>
      </c>
    </row>
    <row r="136" spans="1:30" x14ac:dyDescent="0.25">
      <c r="A136" s="1" t="s">
        <v>1462</v>
      </c>
      <c r="C136" s="1" t="s">
        <v>1234</v>
      </c>
      <c r="E136" s="1">
        <v>6</v>
      </c>
      <c r="G136" s="18" t="s">
        <v>1013</v>
      </c>
      <c r="H136" s="18"/>
      <c r="I136" s="18"/>
      <c r="J136" s="18"/>
      <c r="K136" s="18"/>
      <c r="L136" s="18"/>
      <c r="M136" s="18"/>
      <c r="N136" s="18"/>
      <c r="O136" s="18"/>
      <c r="P136" s="18"/>
      <c r="Q136" s="129"/>
      <c r="R136" s="113"/>
      <c r="S136" s="124"/>
      <c r="AD136" s="1" t="s">
        <v>1551</v>
      </c>
    </row>
    <row r="137" spans="1:30" x14ac:dyDescent="0.25">
      <c r="A137" s="1" t="s">
        <v>1463</v>
      </c>
      <c r="C137" s="1" t="s">
        <v>1237</v>
      </c>
      <c r="E137" s="1">
        <v>6</v>
      </c>
      <c r="G137" s="1" t="s">
        <v>1241</v>
      </c>
      <c r="R137" s="111"/>
      <c r="AD137" s="1" t="s">
        <v>1549</v>
      </c>
    </row>
    <row r="138" spans="1:30" x14ac:dyDescent="0.25">
      <c r="R138" s="113" t="s">
        <v>739</v>
      </c>
    </row>
    <row r="139" spans="1:30" x14ac:dyDescent="0.25">
      <c r="R139" s="113"/>
    </row>
    <row r="140" spans="1:30" x14ac:dyDescent="0.25">
      <c r="A140" s="1" t="s">
        <v>1464</v>
      </c>
      <c r="C140" s="1" t="s">
        <v>1238</v>
      </c>
      <c r="E140" s="1">
        <v>7</v>
      </c>
      <c r="G140" s="18" t="s">
        <v>705</v>
      </c>
      <c r="H140" s="18"/>
      <c r="I140" s="18"/>
      <c r="J140" s="18"/>
      <c r="K140" s="18"/>
      <c r="L140" s="18"/>
      <c r="M140" s="18"/>
      <c r="N140" s="18"/>
      <c r="O140" s="18"/>
      <c r="P140" s="18"/>
      <c r="Q140" s="129"/>
      <c r="R140" s="113"/>
      <c r="S140" s="124"/>
      <c r="AD140" s="1" t="s">
        <v>1551</v>
      </c>
    </row>
    <row r="141" spans="1:30" x14ac:dyDescent="0.25">
      <c r="A141" s="1" t="s">
        <v>1465</v>
      </c>
      <c r="C141" s="1" t="s">
        <v>1240</v>
      </c>
      <c r="E141" s="1">
        <v>7</v>
      </c>
      <c r="G141" s="18" t="s">
        <v>722</v>
      </c>
      <c r="H141" s="18"/>
      <c r="I141" s="18"/>
      <c r="J141" s="18"/>
      <c r="K141" s="18"/>
      <c r="L141" s="18"/>
      <c r="M141" s="18"/>
      <c r="N141" s="18"/>
      <c r="O141" s="18"/>
      <c r="P141" s="18"/>
      <c r="Q141" s="129"/>
      <c r="R141" s="113" t="s">
        <v>726</v>
      </c>
      <c r="S141" s="124"/>
      <c r="AD141" s="1" t="s">
        <v>1549</v>
      </c>
    </row>
    <row r="142" spans="1:30" x14ac:dyDescent="0.25">
      <c r="A142" s="1" t="s">
        <v>1466</v>
      </c>
      <c r="C142" s="1" t="s">
        <v>1242</v>
      </c>
      <c r="E142" s="1">
        <v>7</v>
      </c>
      <c r="G142" s="1" t="s">
        <v>1243</v>
      </c>
      <c r="R142" s="113"/>
      <c r="AD142" s="1" t="s">
        <v>1580</v>
      </c>
    </row>
    <row r="143" spans="1:30" x14ac:dyDescent="0.25">
      <c r="R143" s="113" t="s">
        <v>725</v>
      </c>
    </row>
    <row r="144" spans="1:30" x14ac:dyDescent="0.25">
      <c r="A144" s="1" t="s">
        <v>1467</v>
      </c>
      <c r="C144" s="1" t="s">
        <v>1239</v>
      </c>
      <c r="E144" s="1">
        <v>8</v>
      </c>
      <c r="G144" s="18" t="s">
        <v>722</v>
      </c>
      <c r="H144" s="18"/>
      <c r="I144" s="18"/>
      <c r="J144" s="18"/>
      <c r="K144" s="18"/>
      <c r="L144" s="18"/>
      <c r="M144" s="18"/>
      <c r="N144" s="18"/>
      <c r="O144" s="18"/>
      <c r="P144" s="18"/>
      <c r="Q144" s="129"/>
      <c r="R144" s="113"/>
      <c r="S144" s="124"/>
      <c r="AD144" s="1" t="s">
        <v>1551</v>
      </c>
    </row>
    <row r="145" spans="1:30" x14ac:dyDescent="0.25">
      <c r="A145" s="1" t="s">
        <v>1468</v>
      </c>
      <c r="C145" s="1" t="s">
        <v>206</v>
      </c>
      <c r="E145" s="1">
        <v>8</v>
      </c>
      <c r="G145" s="1" t="s">
        <v>1241</v>
      </c>
      <c r="R145" s="113" t="s">
        <v>1001</v>
      </c>
      <c r="AD145" s="1" t="s">
        <v>1549</v>
      </c>
    </row>
    <row r="146" spans="1:30" x14ac:dyDescent="0.25">
      <c r="R146" s="113" t="s">
        <v>1002</v>
      </c>
    </row>
    <row r="147" spans="1:30" x14ac:dyDescent="0.25">
      <c r="A147" s="1" t="s">
        <v>1469</v>
      </c>
      <c r="C147" s="1" t="s">
        <v>1246</v>
      </c>
      <c r="E147" s="1">
        <v>2</v>
      </c>
      <c r="G147" s="27" t="s">
        <v>587</v>
      </c>
      <c r="H147" s="27"/>
      <c r="I147" s="27"/>
      <c r="J147" s="27"/>
      <c r="K147" s="27"/>
      <c r="L147" s="27"/>
      <c r="M147" s="27"/>
      <c r="N147" s="27"/>
      <c r="O147" s="27"/>
      <c r="P147" s="27"/>
      <c r="R147" s="113"/>
      <c r="AD147" s="1" t="s">
        <v>1550</v>
      </c>
    </row>
    <row r="148" spans="1:30" x14ac:dyDescent="0.25">
      <c r="A148" s="1" t="s">
        <v>1470</v>
      </c>
      <c r="C148" s="1" t="s">
        <v>1245</v>
      </c>
      <c r="E148" s="1">
        <v>3</v>
      </c>
      <c r="G148" s="27" t="s">
        <v>587</v>
      </c>
      <c r="H148" s="27"/>
      <c r="I148" s="27"/>
      <c r="J148" s="27"/>
      <c r="K148" s="27"/>
      <c r="L148" s="27"/>
      <c r="M148" s="27"/>
      <c r="N148" s="27"/>
      <c r="O148" s="27"/>
      <c r="P148" s="27"/>
      <c r="R148" s="111"/>
      <c r="AD148" s="1" t="s">
        <v>1551</v>
      </c>
    </row>
    <row r="149" spans="1:30" x14ac:dyDescent="0.25">
      <c r="A149" s="1" t="s">
        <v>1471</v>
      </c>
      <c r="C149" s="1" t="s">
        <v>1244</v>
      </c>
      <c r="E149" s="1">
        <v>6</v>
      </c>
      <c r="G149" s="27" t="s">
        <v>587</v>
      </c>
      <c r="H149" s="27"/>
      <c r="I149" s="27"/>
      <c r="J149" s="27"/>
      <c r="K149" s="27"/>
      <c r="L149" s="27"/>
      <c r="M149" s="27"/>
      <c r="N149" s="27"/>
      <c r="O149" s="27"/>
      <c r="P149" s="27"/>
      <c r="R149" s="113" t="s">
        <v>738</v>
      </c>
      <c r="AD149" s="1" t="s">
        <v>1549</v>
      </c>
    </row>
    <row r="150" spans="1:30" x14ac:dyDescent="0.25">
      <c r="R150" s="111"/>
      <c r="AA150" s="113"/>
    </row>
    <row r="151" spans="1:30" x14ac:dyDescent="0.25">
      <c r="A151" s="1" t="s">
        <v>1472</v>
      </c>
      <c r="C151" s="1" t="s">
        <v>1249</v>
      </c>
      <c r="E151" s="1">
        <v>6</v>
      </c>
      <c r="G151" s="1" t="s">
        <v>591</v>
      </c>
      <c r="AA151" s="113"/>
      <c r="AD151" s="1" t="s">
        <v>1550</v>
      </c>
    </row>
    <row r="152" spans="1:30" x14ac:dyDescent="0.25">
      <c r="AA152" s="113"/>
    </row>
    <row r="153" spans="1:30" x14ac:dyDescent="0.25">
      <c r="A153" s="1" t="s">
        <v>1473</v>
      </c>
      <c r="C153" s="1" t="s">
        <v>1250</v>
      </c>
      <c r="E153" s="1">
        <v>6</v>
      </c>
      <c r="G153" s="18" t="s">
        <v>1006</v>
      </c>
      <c r="H153" s="18"/>
      <c r="I153" s="18"/>
      <c r="J153" s="18"/>
      <c r="K153" s="18"/>
      <c r="L153" s="18"/>
      <c r="M153" s="18"/>
      <c r="N153" s="18"/>
      <c r="O153" s="18"/>
      <c r="P153" s="18"/>
      <c r="Q153" s="129"/>
      <c r="R153" s="124"/>
      <c r="S153" s="124"/>
      <c r="AA153" s="113"/>
      <c r="AD153" s="1" t="s">
        <v>1549</v>
      </c>
    </row>
    <row r="154" spans="1:30" x14ac:dyDescent="0.25">
      <c r="A154" s="1" t="s">
        <v>1474</v>
      </c>
      <c r="C154" s="1" t="s">
        <v>1251</v>
      </c>
      <c r="E154" s="1">
        <v>7</v>
      </c>
      <c r="G154" s="18" t="s">
        <v>1003</v>
      </c>
      <c r="H154" s="18"/>
      <c r="I154" s="18"/>
      <c r="J154" s="18"/>
      <c r="K154" s="18"/>
      <c r="L154" s="18"/>
      <c r="M154" s="18"/>
      <c r="N154" s="18"/>
      <c r="O154" s="18"/>
      <c r="P154" s="18"/>
      <c r="Q154" s="129"/>
      <c r="R154" s="124"/>
      <c r="S154" s="124"/>
      <c r="AD154" s="1" t="s">
        <v>1580</v>
      </c>
    </row>
    <row r="155" spans="1:30" x14ac:dyDescent="0.25">
      <c r="A155" s="1" t="s">
        <v>1475</v>
      </c>
      <c r="C155" s="1" t="s">
        <v>1252</v>
      </c>
      <c r="E155" s="1">
        <v>7</v>
      </c>
      <c r="G155" s="18" t="s">
        <v>1006</v>
      </c>
      <c r="H155" s="18"/>
      <c r="I155" s="18"/>
      <c r="J155" s="18"/>
      <c r="K155" s="18"/>
      <c r="L155" s="18"/>
      <c r="M155" s="18"/>
      <c r="N155" s="18"/>
      <c r="O155" s="18"/>
      <c r="P155" s="18"/>
      <c r="Q155" s="129"/>
      <c r="R155" s="124"/>
      <c r="S155" s="124"/>
      <c r="AD155" s="1" t="s">
        <v>1550</v>
      </c>
    </row>
    <row r="156" spans="1:30" x14ac:dyDescent="0.25">
      <c r="A156" s="1" t="s">
        <v>1476</v>
      </c>
      <c r="C156" s="1" t="s">
        <v>1253</v>
      </c>
      <c r="E156" s="1">
        <v>8</v>
      </c>
      <c r="G156" s="18" t="s">
        <v>1006</v>
      </c>
      <c r="H156" s="18"/>
      <c r="I156" s="18"/>
      <c r="J156" s="18"/>
      <c r="K156" s="18"/>
      <c r="L156" s="18"/>
      <c r="M156" s="18"/>
      <c r="N156" s="18"/>
      <c r="O156" s="18"/>
      <c r="P156" s="18"/>
      <c r="Q156" s="129"/>
      <c r="R156" s="124"/>
      <c r="S156" s="124"/>
      <c r="AD156" s="1" t="s">
        <v>1551</v>
      </c>
    </row>
    <row r="158" spans="1:30" x14ac:dyDescent="0.25">
      <c r="AA158" s="113"/>
    </row>
    <row r="160" spans="1:30" x14ac:dyDescent="0.25">
      <c r="AA160" s="113"/>
    </row>
    <row r="161" spans="1:32" x14ac:dyDescent="0.25">
      <c r="AA161" s="113"/>
    </row>
    <row r="162" spans="1:32" x14ac:dyDescent="0.25">
      <c r="AA162" s="113"/>
    </row>
    <row r="163" spans="1:32" x14ac:dyDescent="0.25">
      <c r="AA163" s="113"/>
    </row>
    <row r="164" spans="1:32" x14ac:dyDescent="0.25">
      <c r="AA164" s="113"/>
    </row>
    <row r="165" spans="1:32" x14ac:dyDescent="0.25">
      <c r="AA165" s="113"/>
    </row>
    <row r="166" spans="1:32" s="81" customFormat="1" x14ac:dyDescent="0.25">
      <c r="A166" s="81" t="s">
        <v>190</v>
      </c>
      <c r="Q166" s="128"/>
      <c r="R166" s="123"/>
      <c r="S166" s="123"/>
      <c r="U166" s="94"/>
      <c r="V166" s="98"/>
      <c r="W166" s="106"/>
      <c r="X166" s="102"/>
      <c r="Y166" s="110"/>
      <c r="Z166" s="119"/>
      <c r="AA166" s="112"/>
      <c r="AB166" s="115"/>
      <c r="AC166" s="115"/>
    </row>
    <row r="169" spans="1:32" x14ac:dyDescent="0.25">
      <c r="AA169" s="113"/>
    </row>
    <row r="170" spans="1:32" x14ac:dyDescent="0.25">
      <c r="A170" s="1" t="s">
        <v>1477</v>
      </c>
      <c r="C170" s="1" t="s">
        <v>27</v>
      </c>
      <c r="E170" s="1" t="s">
        <v>1200</v>
      </c>
      <c r="F170" s="1" t="s">
        <v>28</v>
      </c>
      <c r="G170" s="1" t="s">
        <v>32</v>
      </c>
      <c r="T170" s="1" t="s">
        <v>29</v>
      </c>
      <c r="U170" s="91" t="s">
        <v>30</v>
      </c>
      <c r="V170" s="95" t="s">
        <v>31</v>
      </c>
      <c r="W170" s="103" t="s">
        <v>49</v>
      </c>
      <c r="X170" s="99" t="s">
        <v>50</v>
      </c>
      <c r="Y170" s="107" t="s">
        <v>51</v>
      </c>
      <c r="Z170" s="116" t="s">
        <v>33</v>
      </c>
    </row>
    <row r="171" spans="1:32" ht="7.5" customHeight="1" x14ac:dyDescent="0.25"/>
    <row r="172" spans="1:32" x14ac:dyDescent="0.25">
      <c r="A172" s="1" t="s">
        <v>1478</v>
      </c>
      <c r="C172" s="1" t="s">
        <v>39</v>
      </c>
      <c r="F172" s="3"/>
    </row>
    <row r="173" spans="1:32" x14ac:dyDescent="0.25">
      <c r="A173" s="1" t="s">
        <v>1479</v>
      </c>
      <c r="C173" s="1" t="s">
        <v>34</v>
      </c>
      <c r="F173" s="3"/>
      <c r="G173" s="2"/>
      <c r="H173" s="2"/>
      <c r="I173" s="2"/>
      <c r="J173" s="2"/>
      <c r="K173" s="2"/>
      <c r="L173" s="2"/>
      <c r="M173" s="2"/>
      <c r="N173" s="2"/>
      <c r="O173" s="2"/>
      <c r="P173" s="2"/>
      <c r="Q173" s="126"/>
      <c r="R173" s="121"/>
      <c r="S173" s="121"/>
      <c r="AD173" s="1" t="s">
        <v>34</v>
      </c>
      <c r="AE173" s="1" t="s">
        <v>35</v>
      </c>
    </row>
    <row r="174" spans="1:32" x14ac:dyDescent="0.25">
      <c r="A174" s="1" t="s">
        <v>1480</v>
      </c>
      <c r="C174" s="1" t="s">
        <v>36</v>
      </c>
      <c r="F174" s="3"/>
      <c r="G174" s="2"/>
      <c r="H174" s="2"/>
      <c r="I174" s="2"/>
      <c r="J174" s="2"/>
      <c r="K174" s="2"/>
      <c r="L174" s="2"/>
      <c r="M174" s="2"/>
      <c r="N174" s="2"/>
      <c r="O174" s="2"/>
      <c r="P174" s="2"/>
      <c r="Q174" s="126"/>
      <c r="R174" s="121"/>
      <c r="S174" s="121"/>
      <c r="W174" s="104"/>
      <c r="X174" s="100"/>
      <c r="Y174" s="108"/>
      <c r="AB174" s="114" t="s">
        <v>39</v>
      </c>
      <c r="AD174" s="1" t="s">
        <v>36</v>
      </c>
      <c r="AE174" s="1" t="s">
        <v>40</v>
      </c>
      <c r="AF174" s="1" t="s">
        <v>38</v>
      </c>
    </row>
    <row r="175" spans="1:32" x14ac:dyDescent="0.25">
      <c r="A175" s="1" t="s">
        <v>1481</v>
      </c>
      <c r="C175" s="1" t="s">
        <v>41</v>
      </c>
      <c r="F175" s="3"/>
      <c r="G175" s="2"/>
      <c r="H175" s="2"/>
      <c r="I175" s="2"/>
      <c r="J175" s="2"/>
      <c r="K175" s="2"/>
      <c r="L175" s="2"/>
      <c r="M175" s="2"/>
      <c r="N175" s="2"/>
      <c r="O175" s="2"/>
      <c r="P175" s="2"/>
      <c r="Q175" s="126"/>
      <c r="R175" s="121"/>
      <c r="S175" s="121"/>
      <c r="T175" s="2"/>
      <c r="U175" s="92"/>
      <c r="V175" s="96"/>
      <c r="W175" s="104"/>
      <c r="X175" s="100"/>
      <c r="Y175" s="108"/>
      <c r="Z175" s="117"/>
      <c r="AD175" s="1" t="s">
        <v>41</v>
      </c>
      <c r="AE175" s="1" t="s">
        <v>42</v>
      </c>
    </row>
    <row r="176" spans="1:32" x14ac:dyDescent="0.25">
      <c r="A176" s="1" t="s">
        <v>1482</v>
      </c>
      <c r="C176" s="1" t="s">
        <v>37</v>
      </c>
      <c r="F176" s="3"/>
      <c r="G176" s="2"/>
      <c r="H176" s="2"/>
      <c r="I176" s="2"/>
      <c r="J176" s="2"/>
      <c r="K176" s="2"/>
      <c r="L176" s="2"/>
      <c r="M176" s="2"/>
      <c r="N176" s="2"/>
      <c r="O176" s="2"/>
      <c r="P176" s="2"/>
      <c r="Q176" s="126"/>
      <c r="R176" s="121"/>
      <c r="S176" s="121"/>
      <c r="T176" s="2"/>
      <c r="U176" s="92"/>
      <c r="V176" s="96"/>
      <c r="W176" s="104"/>
      <c r="X176" s="100"/>
      <c r="Y176" s="108"/>
      <c r="Z176" s="117"/>
      <c r="AD176" s="1" t="s">
        <v>37</v>
      </c>
    </row>
    <row r="177" spans="1:26" x14ac:dyDescent="0.25">
      <c r="A177" s="1" t="s">
        <v>1483</v>
      </c>
      <c r="C177" s="1" t="s">
        <v>35</v>
      </c>
      <c r="F177" s="3"/>
      <c r="W177" s="104"/>
      <c r="X177" s="100"/>
      <c r="Y177" s="108"/>
    </row>
    <row r="178" spans="1:26" x14ac:dyDescent="0.25">
      <c r="A178" s="1" t="s">
        <v>1484</v>
      </c>
      <c r="C178" s="1" t="s">
        <v>40</v>
      </c>
      <c r="F178" s="3"/>
    </row>
    <row r="179" spans="1:26" x14ac:dyDescent="0.25">
      <c r="A179" s="1" t="s">
        <v>1485</v>
      </c>
      <c r="C179" s="1" t="s">
        <v>42</v>
      </c>
      <c r="F179" s="3"/>
    </row>
    <row r="180" spans="1:26" x14ac:dyDescent="0.25">
      <c r="A180" s="1" t="s">
        <v>1486</v>
      </c>
      <c r="C180" s="1" t="s">
        <v>38</v>
      </c>
      <c r="F180" s="3"/>
    </row>
    <row r="181" spans="1:26" ht="7.5" customHeight="1" x14ac:dyDescent="0.25"/>
    <row r="182" spans="1:26" x14ac:dyDescent="0.25">
      <c r="A182" s="1" t="s">
        <v>1487</v>
      </c>
      <c r="C182" s="90" t="s">
        <v>43</v>
      </c>
      <c r="G182" s="3"/>
      <c r="H182" s="3"/>
      <c r="I182" s="3"/>
      <c r="J182" s="3"/>
      <c r="K182" s="3"/>
      <c r="L182" s="3"/>
      <c r="M182" s="3"/>
      <c r="N182" s="3"/>
      <c r="O182" s="3"/>
      <c r="P182" s="3"/>
      <c r="Q182" s="127"/>
      <c r="R182" s="122"/>
      <c r="S182" s="122"/>
    </row>
    <row r="183" spans="1:26" x14ac:dyDescent="0.25">
      <c r="A183" s="1" t="s">
        <v>1488</v>
      </c>
      <c r="C183" s="90" t="s">
        <v>44</v>
      </c>
      <c r="G183" s="3"/>
      <c r="H183" s="3"/>
      <c r="I183" s="3"/>
      <c r="J183" s="3"/>
      <c r="K183" s="3"/>
      <c r="L183" s="3"/>
      <c r="M183" s="3"/>
      <c r="N183" s="3"/>
      <c r="O183" s="3"/>
      <c r="P183" s="3"/>
      <c r="Q183" s="127"/>
      <c r="R183" s="122"/>
      <c r="S183" s="122"/>
    </row>
    <row r="184" spans="1:26" x14ac:dyDescent="0.25">
      <c r="A184" s="1" t="s">
        <v>1489</v>
      </c>
      <c r="C184" s="90" t="s">
        <v>45</v>
      </c>
      <c r="G184" s="3"/>
      <c r="H184" s="3"/>
      <c r="I184" s="3"/>
      <c r="J184" s="3"/>
      <c r="K184" s="3"/>
      <c r="L184" s="3"/>
      <c r="M184" s="3"/>
      <c r="N184" s="3"/>
      <c r="O184" s="3"/>
      <c r="P184" s="3"/>
      <c r="Q184" s="127"/>
      <c r="R184" s="122"/>
      <c r="S184" s="122"/>
    </row>
    <row r="185" spans="1:26" x14ac:dyDescent="0.25">
      <c r="A185" s="1" t="s">
        <v>1490</v>
      </c>
      <c r="C185" s="90" t="s">
        <v>46</v>
      </c>
      <c r="G185" s="3"/>
      <c r="H185" s="3"/>
      <c r="I185" s="3"/>
      <c r="J185" s="3"/>
      <c r="K185" s="3"/>
      <c r="L185" s="3"/>
      <c r="M185" s="3"/>
      <c r="N185" s="3"/>
      <c r="O185" s="3"/>
      <c r="P185" s="3"/>
      <c r="Q185" s="127"/>
      <c r="R185" s="122"/>
      <c r="S185" s="122"/>
    </row>
    <row r="186" spans="1:26" ht="7.5" customHeight="1" x14ac:dyDescent="0.25"/>
    <row r="187" spans="1:26" x14ac:dyDescent="0.25">
      <c r="A187" s="1" t="s">
        <v>1491</v>
      </c>
      <c r="C187" s="90" t="s">
        <v>47</v>
      </c>
      <c r="F187" s="2"/>
      <c r="T187" s="3"/>
    </row>
    <row r="188" spans="1:26" x14ac:dyDescent="0.25">
      <c r="A188" s="1" t="s">
        <v>1492</v>
      </c>
      <c r="C188" s="1" t="s">
        <v>48</v>
      </c>
      <c r="F188" s="2"/>
      <c r="T188" s="3"/>
    </row>
    <row r="189" spans="1:26" x14ac:dyDescent="0.25">
      <c r="A189" s="1" t="s">
        <v>1493</v>
      </c>
      <c r="C189" s="1" t="s">
        <v>52</v>
      </c>
      <c r="T189" s="3"/>
      <c r="Z189" s="118"/>
    </row>
    <row r="190" spans="1:26" x14ac:dyDescent="0.25">
      <c r="A190" s="1" t="s">
        <v>1494</v>
      </c>
      <c r="C190" s="1" t="s">
        <v>53</v>
      </c>
      <c r="T190" s="3"/>
    </row>
    <row r="191" spans="1:26" x14ac:dyDescent="0.25">
      <c r="A191" s="1" t="s">
        <v>1495</v>
      </c>
      <c r="C191" s="1" t="s">
        <v>54</v>
      </c>
      <c r="T191" s="3"/>
      <c r="W191" s="105"/>
    </row>
    <row r="192" spans="1:26" ht="7.5" customHeight="1" x14ac:dyDescent="0.25"/>
    <row r="193" spans="1:26" x14ac:dyDescent="0.25">
      <c r="A193" s="1" t="s">
        <v>1496</v>
      </c>
      <c r="C193" s="1" t="s">
        <v>55</v>
      </c>
      <c r="F193" s="2"/>
      <c r="U193" s="93"/>
    </row>
    <row r="194" spans="1:26" x14ac:dyDescent="0.25">
      <c r="A194" s="1" t="s">
        <v>1497</v>
      </c>
      <c r="C194" s="1" t="s">
        <v>56</v>
      </c>
      <c r="F194" s="2"/>
      <c r="U194" s="93"/>
    </row>
    <row r="195" spans="1:26" x14ac:dyDescent="0.25">
      <c r="A195" s="1" t="s">
        <v>1498</v>
      </c>
      <c r="C195" s="1" t="s">
        <v>57</v>
      </c>
      <c r="F195" s="2"/>
      <c r="U195" s="93"/>
    </row>
    <row r="196" spans="1:26" x14ac:dyDescent="0.25">
      <c r="A196" s="1" t="s">
        <v>1499</v>
      </c>
      <c r="C196" s="1" t="s">
        <v>58</v>
      </c>
      <c r="U196" s="93"/>
    </row>
    <row r="197" spans="1:26" x14ac:dyDescent="0.25">
      <c r="A197" s="1" t="s">
        <v>1500</v>
      </c>
      <c r="C197" s="1" t="s">
        <v>59</v>
      </c>
      <c r="U197" s="93"/>
    </row>
    <row r="198" spans="1:26" ht="7.5" customHeight="1" x14ac:dyDescent="0.25"/>
    <row r="199" spans="1:26" x14ac:dyDescent="0.25">
      <c r="A199" s="1" t="s">
        <v>1501</v>
      </c>
      <c r="C199" s="1" t="s">
        <v>60</v>
      </c>
      <c r="G199" s="3"/>
      <c r="H199" s="3"/>
      <c r="I199" s="3"/>
      <c r="J199" s="3"/>
      <c r="K199" s="3"/>
      <c r="L199" s="3"/>
      <c r="M199" s="3"/>
      <c r="N199" s="3"/>
      <c r="O199" s="3"/>
      <c r="P199" s="3"/>
      <c r="Q199" s="127"/>
      <c r="R199" s="122"/>
      <c r="S199" s="122"/>
    </row>
    <row r="200" spans="1:26" x14ac:dyDescent="0.25">
      <c r="A200" s="1" t="s">
        <v>1502</v>
      </c>
      <c r="C200" s="1" t="s">
        <v>61</v>
      </c>
      <c r="V200" s="97"/>
    </row>
    <row r="201" spans="1:26" x14ac:dyDescent="0.25">
      <c r="A201" s="1" t="s">
        <v>1503</v>
      </c>
      <c r="C201" s="1" t="s">
        <v>62</v>
      </c>
      <c r="V201" s="97"/>
    </row>
    <row r="202" spans="1:26" x14ac:dyDescent="0.25">
      <c r="A202" s="1" t="s">
        <v>1504</v>
      </c>
      <c r="C202" s="1" t="s">
        <v>63</v>
      </c>
      <c r="V202" s="97"/>
    </row>
    <row r="203" spans="1:26" x14ac:dyDescent="0.25">
      <c r="A203" s="1" t="s">
        <v>1505</v>
      </c>
      <c r="C203" s="1" t="s">
        <v>64</v>
      </c>
      <c r="V203" s="97"/>
    </row>
    <row r="204" spans="1:26" x14ac:dyDescent="0.25">
      <c r="A204" s="1" t="s">
        <v>1506</v>
      </c>
      <c r="C204" s="1" t="s">
        <v>65</v>
      </c>
      <c r="V204" s="97"/>
    </row>
    <row r="205" spans="1:26" x14ac:dyDescent="0.25">
      <c r="A205" s="1" t="s">
        <v>1507</v>
      </c>
      <c r="C205" s="1" t="s">
        <v>67</v>
      </c>
      <c r="F205" s="2"/>
      <c r="G205" s="2"/>
      <c r="H205" s="2"/>
      <c r="I205" s="2"/>
      <c r="J205" s="2"/>
      <c r="K205" s="2"/>
      <c r="L205" s="2"/>
      <c r="M205" s="2"/>
      <c r="N205" s="2"/>
      <c r="O205" s="2"/>
      <c r="P205" s="2"/>
      <c r="Q205" s="126"/>
      <c r="R205" s="121"/>
      <c r="S205" s="121"/>
      <c r="T205" s="2"/>
      <c r="U205" s="92"/>
      <c r="W205" s="104"/>
      <c r="X205" s="100"/>
      <c r="Y205" s="108"/>
      <c r="Z205" s="117"/>
    </row>
    <row r="206" spans="1:26" x14ac:dyDescent="0.25">
      <c r="A206" s="1" t="s">
        <v>1508</v>
      </c>
      <c r="C206" s="1" t="s">
        <v>66</v>
      </c>
      <c r="V206" s="97"/>
      <c r="W206" s="105"/>
    </row>
    <row r="207" spans="1:26" ht="7.5" customHeight="1" x14ac:dyDescent="0.25"/>
    <row r="208" spans="1:26" x14ac:dyDescent="0.25">
      <c r="A208" s="1" t="s">
        <v>1509</v>
      </c>
      <c r="C208" s="1" t="s">
        <v>68</v>
      </c>
      <c r="W208" s="105"/>
    </row>
    <row r="209" spans="1:28" x14ac:dyDescent="0.25">
      <c r="A209" s="1" t="s">
        <v>1510</v>
      </c>
      <c r="C209" s="1" t="s">
        <v>69</v>
      </c>
      <c r="W209" s="105"/>
    </row>
    <row r="210" spans="1:28" x14ac:dyDescent="0.25">
      <c r="A210" s="1" t="s">
        <v>1511</v>
      </c>
      <c r="C210" s="1" t="s">
        <v>70</v>
      </c>
      <c r="W210" s="105"/>
    </row>
    <row r="211" spans="1:28" x14ac:dyDescent="0.25">
      <c r="A211" s="1" t="s">
        <v>1512</v>
      </c>
      <c r="C211" s="1" t="s">
        <v>71</v>
      </c>
      <c r="W211" s="105"/>
    </row>
    <row r="212" spans="1:28" x14ac:dyDescent="0.25">
      <c r="A212" s="1" t="s">
        <v>1513</v>
      </c>
      <c r="C212" s="1" t="s">
        <v>72</v>
      </c>
      <c r="W212" s="105"/>
    </row>
    <row r="213" spans="1:28" ht="7.5" customHeight="1" x14ac:dyDescent="0.25"/>
    <row r="214" spans="1:28" x14ac:dyDescent="0.25">
      <c r="A214" s="1" t="s">
        <v>1514</v>
      </c>
      <c r="C214" s="1" t="s">
        <v>73</v>
      </c>
      <c r="X214" s="101"/>
    </row>
    <row r="215" spans="1:28" x14ac:dyDescent="0.25">
      <c r="A215" s="1" t="s">
        <v>1515</v>
      </c>
      <c r="C215" s="1" t="s">
        <v>74</v>
      </c>
      <c r="X215" s="101"/>
    </row>
    <row r="216" spans="1:28" x14ac:dyDescent="0.25">
      <c r="A216" s="1" t="s">
        <v>1516</v>
      </c>
      <c r="C216" s="1" t="s">
        <v>77</v>
      </c>
      <c r="X216" s="101"/>
      <c r="AB216" s="114" t="s">
        <v>78</v>
      </c>
    </row>
    <row r="217" spans="1:28" x14ac:dyDescent="0.25">
      <c r="A217" s="1" t="s">
        <v>1517</v>
      </c>
      <c r="C217" s="1" t="s">
        <v>76</v>
      </c>
      <c r="X217" s="101"/>
      <c r="AB217" s="114" t="s">
        <v>79</v>
      </c>
    </row>
    <row r="218" spans="1:28" x14ac:dyDescent="0.25">
      <c r="A218" s="1" t="s">
        <v>1518</v>
      </c>
      <c r="C218" s="1" t="s">
        <v>75</v>
      </c>
      <c r="W218" s="105"/>
      <c r="X218" s="101"/>
    </row>
    <row r="219" spans="1:28" ht="7.5" customHeight="1" x14ac:dyDescent="0.25"/>
    <row r="220" spans="1:28" x14ac:dyDescent="0.25">
      <c r="A220" s="1" t="s">
        <v>1519</v>
      </c>
      <c r="C220" s="1" t="s">
        <v>80</v>
      </c>
      <c r="Y220" s="109"/>
    </row>
    <row r="221" spans="1:28" x14ac:dyDescent="0.25">
      <c r="A221" s="1" t="s">
        <v>1520</v>
      </c>
      <c r="C221" s="1" t="s">
        <v>81</v>
      </c>
      <c r="Y221" s="109"/>
    </row>
    <row r="222" spans="1:28" x14ac:dyDescent="0.25">
      <c r="A222" s="1" t="s">
        <v>1521</v>
      </c>
      <c r="C222" s="1" t="s">
        <v>82</v>
      </c>
      <c r="Y222" s="109"/>
    </row>
    <row r="223" spans="1:28" x14ac:dyDescent="0.25">
      <c r="A223" s="1" t="s">
        <v>1522</v>
      </c>
      <c r="C223" s="1" t="s">
        <v>85</v>
      </c>
      <c r="Y223" s="109"/>
    </row>
    <row r="224" spans="1:28" x14ac:dyDescent="0.25">
      <c r="A224" s="1" t="s">
        <v>1523</v>
      </c>
      <c r="C224" s="1" t="s">
        <v>84</v>
      </c>
      <c r="Y224" s="109"/>
    </row>
    <row r="225" spans="1:26" x14ac:dyDescent="0.25">
      <c r="A225" s="1" t="s">
        <v>1524</v>
      </c>
      <c r="C225" s="1" t="s">
        <v>83</v>
      </c>
      <c r="Y225" s="109"/>
    </row>
    <row r="226" spans="1:26" ht="7.5" customHeight="1" x14ac:dyDescent="0.25"/>
    <row r="227" spans="1:26" x14ac:dyDescent="0.25">
      <c r="A227" s="1" t="s">
        <v>1525</v>
      </c>
      <c r="C227" s="1" t="s">
        <v>86</v>
      </c>
      <c r="Z227" s="118"/>
    </row>
    <row r="228" spans="1:26" x14ac:dyDescent="0.25">
      <c r="A228" s="1" t="s">
        <v>1526</v>
      </c>
      <c r="C228" s="1" t="s">
        <v>87</v>
      </c>
      <c r="Z228" s="118"/>
    </row>
    <row r="229" spans="1:26" x14ac:dyDescent="0.25">
      <c r="A229" s="1" t="s">
        <v>1527</v>
      </c>
      <c r="C229" s="1" t="s">
        <v>89</v>
      </c>
      <c r="Z229" s="118"/>
    </row>
    <row r="230" spans="1:26" x14ac:dyDescent="0.25">
      <c r="A230" s="1" t="s">
        <v>1528</v>
      </c>
      <c r="C230" s="1" t="s">
        <v>88</v>
      </c>
      <c r="Z230" s="118"/>
    </row>
    <row r="231" spans="1:26" x14ac:dyDescent="0.25">
      <c r="A231" s="1" t="s">
        <v>1529</v>
      </c>
      <c r="C231" s="1" t="s">
        <v>90</v>
      </c>
      <c r="Z231" s="118"/>
    </row>
    <row r="232" spans="1:26" ht="7.5" customHeight="1" x14ac:dyDescent="0.25"/>
    <row r="233" spans="1:26" x14ac:dyDescent="0.25">
      <c r="A233" s="1" t="s">
        <v>1530</v>
      </c>
      <c r="C233" s="1" t="s">
        <v>94</v>
      </c>
      <c r="F233" s="3"/>
      <c r="G233" s="3"/>
      <c r="H233" s="3"/>
      <c r="I233" s="3"/>
      <c r="J233" s="3"/>
      <c r="K233" s="3"/>
      <c r="L233" s="3"/>
      <c r="M233" s="3"/>
      <c r="N233" s="3"/>
      <c r="O233" s="3"/>
      <c r="P233" s="3"/>
      <c r="Q233" s="127"/>
      <c r="R233" s="122"/>
      <c r="S233" s="122"/>
      <c r="T233" s="3"/>
      <c r="U233" s="93"/>
      <c r="V233" s="97"/>
      <c r="W233" s="105"/>
      <c r="X233" s="101"/>
      <c r="Y233" s="109"/>
      <c r="Z233" s="118"/>
    </row>
    <row r="234" spans="1:26" x14ac:dyDescent="0.25">
      <c r="A234" s="1" t="s">
        <v>1531</v>
      </c>
      <c r="C234" s="1" t="s">
        <v>95</v>
      </c>
      <c r="F234" s="3"/>
      <c r="G234" s="3"/>
      <c r="H234" s="3"/>
      <c r="I234" s="3"/>
      <c r="J234" s="3"/>
      <c r="K234" s="3"/>
      <c r="L234" s="3"/>
      <c r="M234" s="3"/>
      <c r="N234" s="3"/>
      <c r="O234" s="3"/>
      <c r="P234" s="3"/>
      <c r="Q234" s="127"/>
      <c r="R234" s="122"/>
      <c r="S234" s="122"/>
      <c r="T234" s="3"/>
      <c r="U234" s="93"/>
      <c r="V234" s="97"/>
      <c r="W234" s="105"/>
      <c r="X234" s="101"/>
      <c r="Y234" s="109"/>
      <c r="Z234" s="118"/>
    </row>
    <row r="235" spans="1:26" x14ac:dyDescent="0.25">
      <c r="A235" s="1" t="s">
        <v>1532</v>
      </c>
      <c r="C235" s="1" t="s">
        <v>96</v>
      </c>
      <c r="F235" s="3"/>
      <c r="G235" s="3"/>
      <c r="H235" s="3"/>
      <c r="I235" s="3"/>
      <c r="J235" s="3"/>
      <c r="K235" s="3"/>
      <c r="L235" s="3"/>
      <c r="M235" s="3"/>
      <c r="N235" s="3"/>
      <c r="O235" s="3"/>
      <c r="P235" s="3"/>
      <c r="Q235" s="127"/>
      <c r="R235" s="122"/>
      <c r="S235" s="122"/>
      <c r="T235" s="3"/>
      <c r="U235" s="93"/>
      <c r="V235" s="97"/>
      <c r="W235" s="105"/>
      <c r="X235" s="101"/>
      <c r="Y235" s="109"/>
      <c r="Z235" s="118"/>
    </row>
    <row r="236" spans="1:26" x14ac:dyDescent="0.25">
      <c r="A236" s="1" t="s">
        <v>1533</v>
      </c>
      <c r="C236" s="1" t="s">
        <v>97</v>
      </c>
      <c r="F236" s="3"/>
      <c r="G236" s="3"/>
      <c r="H236" s="3"/>
      <c r="I236" s="3"/>
      <c r="J236" s="3"/>
      <c r="K236" s="3"/>
      <c r="L236" s="3"/>
      <c r="M236" s="3"/>
      <c r="N236" s="3"/>
      <c r="O236" s="3"/>
      <c r="P236" s="3"/>
      <c r="Q236" s="127"/>
      <c r="R236" s="122"/>
      <c r="S236" s="122"/>
      <c r="T236" s="3"/>
      <c r="U236" s="93"/>
      <c r="V236" s="97"/>
      <c r="W236" s="105"/>
      <c r="X236" s="101"/>
      <c r="Y236" s="109"/>
      <c r="Z236" s="118"/>
    </row>
    <row r="237" spans="1:26" x14ac:dyDescent="0.25">
      <c r="A237" s="1" t="s">
        <v>1534</v>
      </c>
      <c r="C237" s="1" t="s">
        <v>98</v>
      </c>
      <c r="F237" s="3"/>
      <c r="G237" s="3"/>
      <c r="H237" s="3"/>
      <c r="I237" s="3"/>
      <c r="J237" s="3"/>
      <c r="K237" s="3"/>
      <c r="L237" s="3"/>
      <c r="M237" s="3"/>
      <c r="N237" s="3"/>
      <c r="O237" s="3"/>
      <c r="P237" s="3"/>
      <c r="Q237" s="127"/>
      <c r="R237" s="122"/>
      <c r="S237" s="122"/>
      <c r="T237" s="3"/>
      <c r="U237" s="93"/>
      <c r="V237" s="97"/>
      <c r="W237" s="105"/>
      <c r="X237" s="101"/>
      <c r="Y237" s="109"/>
      <c r="Z237" s="118"/>
    </row>
    <row r="238" spans="1:26" x14ac:dyDescent="0.25">
      <c r="A238" s="1" t="s">
        <v>1535</v>
      </c>
      <c r="C238" s="1" t="s">
        <v>99</v>
      </c>
      <c r="F238" s="3"/>
      <c r="G238" s="3"/>
      <c r="H238" s="3"/>
      <c r="I238" s="3"/>
      <c r="J238" s="3"/>
      <c r="K238" s="3"/>
      <c r="L238" s="3"/>
      <c r="M238" s="3"/>
      <c r="N238" s="3"/>
      <c r="O238" s="3"/>
      <c r="P238" s="3"/>
      <c r="Q238" s="127"/>
      <c r="R238" s="122"/>
      <c r="S238" s="122"/>
      <c r="T238" s="3"/>
      <c r="U238" s="93"/>
      <c r="V238" s="97"/>
      <c r="W238" s="105"/>
      <c r="X238" s="101"/>
      <c r="Y238" s="109"/>
      <c r="Z238" s="118"/>
    </row>
    <row r="239" spans="1:26" x14ac:dyDescent="0.25">
      <c r="A239" s="1" t="s">
        <v>1536</v>
      </c>
      <c r="C239" s="1" t="s">
        <v>101</v>
      </c>
      <c r="F239" s="3"/>
      <c r="G239" s="3"/>
      <c r="H239" s="3"/>
      <c r="I239" s="3"/>
      <c r="J239" s="3"/>
      <c r="K239" s="3"/>
      <c r="L239" s="3"/>
      <c r="M239" s="3"/>
      <c r="N239" s="3"/>
      <c r="O239" s="3"/>
      <c r="P239" s="3"/>
      <c r="Q239" s="127"/>
      <c r="R239" s="122"/>
      <c r="S239" s="122"/>
      <c r="T239" s="3"/>
      <c r="U239" s="93"/>
      <c r="V239" s="97"/>
      <c r="W239" s="105"/>
      <c r="X239" s="101"/>
      <c r="Y239" s="109"/>
      <c r="Z239" s="118"/>
    </row>
    <row r="240" spans="1:26" x14ac:dyDescent="0.25">
      <c r="A240" s="1" t="s">
        <v>1537</v>
      </c>
      <c r="C240" s="1" t="s">
        <v>100</v>
      </c>
      <c r="F240" s="3"/>
      <c r="G240" s="3"/>
      <c r="H240" s="3"/>
      <c r="I240" s="3"/>
      <c r="J240" s="3"/>
      <c r="K240" s="3"/>
      <c r="L240" s="3"/>
      <c r="M240" s="3"/>
      <c r="N240" s="3"/>
      <c r="O240" s="3"/>
      <c r="P240" s="3"/>
      <c r="Q240" s="127"/>
      <c r="R240" s="122"/>
      <c r="S240" s="122"/>
      <c r="T240" s="3"/>
      <c r="U240" s="93"/>
      <c r="V240" s="97"/>
      <c r="W240" s="105"/>
      <c r="X240" s="101"/>
      <c r="Y240" s="109"/>
      <c r="Z240" s="118"/>
    </row>
    <row r="241" spans="1:27" x14ac:dyDescent="0.25">
      <c r="A241" s="1" t="s">
        <v>1538</v>
      </c>
      <c r="C241" s="1" t="s">
        <v>92</v>
      </c>
      <c r="F241" s="3"/>
      <c r="G241" s="3"/>
      <c r="H241" s="3"/>
      <c r="I241" s="3"/>
      <c r="J241" s="3"/>
      <c r="K241" s="3"/>
      <c r="L241" s="3"/>
      <c r="M241" s="3"/>
      <c r="N241" s="3"/>
      <c r="O241" s="3"/>
      <c r="P241" s="3"/>
      <c r="Q241" s="127"/>
      <c r="R241" s="122"/>
      <c r="S241" s="122"/>
      <c r="T241" s="3"/>
      <c r="U241" s="93"/>
      <c r="V241" s="97"/>
      <c r="W241" s="105"/>
      <c r="X241" s="101"/>
      <c r="Y241" s="109"/>
      <c r="Z241" s="118"/>
    </row>
    <row r="242" spans="1:27" x14ac:dyDescent="0.25">
      <c r="A242" s="1" t="s">
        <v>1539</v>
      </c>
      <c r="C242" s="1" t="s">
        <v>91</v>
      </c>
      <c r="F242" s="2"/>
      <c r="G242" s="2"/>
      <c r="H242" s="2"/>
      <c r="I242" s="2"/>
      <c r="J242" s="2"/>
      <c r="K242" s="2"/>
      <c r="L242" s="2"/>
      <c r="M242" s="2"/>
      <c r="N242" s="2"/>
      <c r="O242" s="2"/>
      <c r="P242" s="2"/>
      <c r="Q242" s="126"/>
      <c r="R242" s="121"/>
      <c r="S242" s="121"/>
      <c r="T242" s="2"/>
      <c r="U242" s="92"/>
      <c r="V242" s="96"/>
      <c r="W242" s="104"/>
      <c r="X242" s="100"/>
      <c r="Y242" s="108"/>
      <c r="Z242" s="118"/>
    </row>
    <row r="243" spans="1:27" x14ac:dyDescent="0.25">
      <c r="A243" s="1" t="s">
        <v>1540</v>
      </c>
      <c r="C243" s="1" t="s">
        <v>93</v>
      </c>
      <c r="Z243" s="118"/>
    </row>
    <row r="244" spans="1:27" x14ac:dyDescent="0.25">
      <c r="A244" s="1" t="s">
        <v>1541</v>
      </c>
      <c r="C244" s="1" t="s">
        <v>103</v>
      </c>
      <c r="F244" s="2"/>
      <c r="G244" s="2"/>
      <c r="H244" s="2"/>
      <c r="I244" s="2"/>
      <c r="J244" s="2"/>
      <c r="K244" s="2"/>
      <c r="L244" s="2"/>
      <c r="M244" s="2"/>
      <c r="N244" s="2"/>
      <c r="O244" s="2"/>
      <c r="P244" s="2"/>
      <c r="Q244" s="126"/>
      <c r="R244" s="121"/>
      <c r="S244" s="121"/>
      <c r="T244" s="2"/>
      <c r="U244" s="92"/>
      <c r="V244" s="96"/>
      <c r="W244" s="104"/>
      <c r="X244" s="100"/>
      <c r="Y244" s="108"/>
      <c r="Z244" s="118"/>
    </row>
    <row r="245" spans="1:27" x14ac:dyDescent="0.25">
      <c r="A245" s="1" t="s">
        <v>1542</v>
      </c>
      <c r="C245" s="1" t="s">
        <v>102</v>
      </c>
      <c r="F245" s="2"/>
      <c r="Z245" s="118"/>
    </row>
    <row r="252" spans="1:27" x14ac:dyDescent="0.25">
      <c r="AA252" s="113"/>
    </row>
    <row r="253" spans="1:27" x14ac:dyDescent="0.25">
      <c r="AA253" s="113"/>
    </row>
    <row r="255" spans="1:27" x14ac:dyDescent="0.25">
      <c r="AA255" s="113"/>
    </row>
    <row r="256" spans="1:27" x14ac:dyDescent="0.25">
      <c r="AA256" s="113"/>
    </row>
    <row r="257" spans="7:27" x14ac:dyDescent="0.25">
      <c r="AA257" s="113"/>
    </row>
    <row r="258" spans="7:27" x14ac:dyDescent="0.25">
      <c r="G258" s="18"/>
      <c r="H258" s="18"/>
      <c r="I258" s="18"/>
      <c r="J258" s="18"/>
      <c r="K258" s="18"/>
      <c r="L258" s="18"/>
      <c r="M258" s="18"/>
      <c r="N258" s="18"/>
      <c r="O258" s="18"/>
      <c r="P258" s="18"/>
      <c r="Q258" s="129"/>
      <c r="R258" s="124"/>
      <c r="S258" s="124"/>
      <c r="AA258" s="113"/>
    </row>
    <row r="259" spans="7:27" x14ac:dyDescent="0.25">
      <c r="G259" s="18"/>
      <c r="H259" s="18"/>
      <c r="I259" s="18"/>
      <c r="J259" s="18"/>
      <c r="K259" s="18"/>
      <c r="L259" s="18"/>
      <c r="M259" s="18"/>
      <c r="N259" s="18"/>
      <c r="O259" s="18"/>
      <c r="P259" s="18"/>
      <c r="Q259" s="129"/>
      <c r="R259" s="124"/>
      <c r="S259" s="124"/>
      <c r="AA259" s="113"/>
    </row>
    <row r="260" spans="7:27" x14ac:dyDescent="0.25">
      <c r="G260" s="18"/>
      <c r="H260" s="18"/>
      <c r="I260" s="18"/>
      <c r="J260" s="18"/>
      <c r="K260" s="18"/>
      <c r="L260" s="18"/>
      <c r="M260" s="18"/>
      <c r="N260" s="18"/>
      <c r="O260" s="18"/>
      <c r="P260" s="18"/>
      <c r="Q260" s="129"/>
      <c r="R260" s="124"/>
      <c r="S260" s="124"/>
    </row>
    <row r="261" spans="7:27" x14ac:dyDescent="0.25">
      <c r="G261" s="18"/>
      <c r="H261" s="18"/>
      <c r="I261" s="18"/>
      <c r="J261" s="18"/>
      <c r="K261" s="18"/>
      <c r="L261" s="18"/>
      <c r="M261" s="18"/>
      <c r="N261" s="18"/>
      <c r="O261" s="18"/>
      <c r="P261" s="18"/>
      <c r="Q261" s="129"/>
      <c r="R261" s="124"/>
      <c r="S261" s="124"/>
    </row>
    <row r="262" spans="7:27" x14ac:dyDescent="0.25">
      <c r="G262" s="18"/>
      <c r="H262" s="18"/>
      <c r="I262" s="18"/>
      <c r="J262" s="18"/>
      <c r="K262" s="18"/>
      <c r="L262" s="18"/>
      <c r="M262" s="18"/>
      <c r="N262" s="18"/>
      <c r="O262" s="18"/>
      <c r="P262" s="18"/>
      <c r="Q262" s="129"/>
      <c r="R262" s="124"/>
      <c r="S262" s="124"/>
    </row>
    <row r="264" spans="7:27" x14ac:dyDescent="0.25">
      <c r="G264" s="18"/>
      <c r="H264" s="18"/>
      <c r="I264" s="18"/>
      <c r="J264" s="18"/>
      <c r="K264" s="18"/>
      <c r="L264" s="18"/>
      <c r="M264" s="18"/>
      <c r="N264" s="18"/>
      <c r="O264" s="18"/>
      <c r="P264" s="18"/>
      <c r="Q264" s="129"/>
      <c r="R264" s="124"/>
      <c r="S264" s="124"/>
    </row>
    <row r="265" spans="7:27" x14ac:dyDescent="0.25">
      <c r="G265" s="18"/>
      <c r="H265" s="18"/>
      <c r="I265" s="18"/>
      <c r="J265" s="18"/>
      <c r="K265" s="18"/>
      <c r="L265" s="18"/>
      <c r="M265" s="18"/>
      <c r="N265" s="18"/>
      <c r="O265" s="18"/>
      <c r="P265" s="18"/>
      <c r="Q265" s="129"/>
      <c r="R265" s="124"/>
      <c r="S265" s="124"/>
    </row>
    <row r="266" spans="7:27" x14ac:dyDescent="0.25">
      <c r="G266" s="27"/>
      <c r="H266" s="27"/>
      <c r="I266" s="27"/>
      <c r="J266" s="27"/>
      <c r="K266" s="27"/>
      <c r="L266" s="27"/>
      <c r="M266" s="27"/>
      <c r="N266" s="27"/>
      <c r="O266" s="27"/>
      <c r="P266" s="27"/>
    </row>
    <row r="267" spans="7:27" x14ac:dyDescent="0.25">
      <c r="G267" s="18"/>
      <c r="H267" s="18"/>
      <c r="I267" s="18"/>
      <c r="J267" s="18"/>
      <c r="K267" s="18"/>
      <c r="L267" s="18"/>
      <c r="M267" s="18"/>
      <c r="N267" s="18"/>
      <c r="O267" s="18"/>
      <c r="P267" s="18"/>
      <c r="Q267" s="129"/>
      <c r="R267" s="124"/>
      <c r="S267" s="124"/>
    </row>
    <row r="268" spans="7:27" x14ac:dyDescent="0.25">
      <c r="G268" s="18"/>
      <c r="H268" s="18"/>
      <c r="I268" s="18"/>
      <c r="J268" s="18"/>
      <c r="K268" s="18"/>
      <c r="L268" s="18"/>
      <c r="M268" s="18"/>
      <c r="N268" s="18"/>
      <c r="O268" s="18"/>
      <c r="P268" s="18"/>
      <c r="Q268" s="129"/>
      <c r="R268" s="124"/>
      <c r="S268" s="124"/>
    </row>
    <row r="269" spans="7:27" x14ac:dyDescent="0.25">
      <c r="G269" s="18"/>
      <c r="H269" s="18"/>
      <c r="I269" s="18"/>
      <c r="J269" s="18"/>
      <c r="K269" s="18"/>
      <c r="L269" s="18"/>
      <c r="M269" s="18"/>
      <c r="N269" s="18"/>
      <c r="O269" s="18"/>
      <c r="P269" s="18"/>
      <c r="Q269" s="129"/>
      <c r="R269" s="124"/>
      <c r="S269" s="124"/>
    </row>
    <row r="270" spans="7:27" x14ac:dyDescent="0.25">
      <c r="G270" s="27"/>
      <c r="H270" s="27"/>
      <c r="I270" s="27"/>
      <c r="J270" s="27"/>
      <c r="K270" s="27"/>
      <c r="L270" s="27"/>
      <c r="M270" s="27"/>
      <c r="N270" s="27"/>
      <c r="O270" s="27"/>
      <c r="P270" s="27"/>
    </row>
    <row r="271" spans="7:27" x14ac:dyDescent="0.25">
      <c r="G271" s="18"/>
      <c r="H271" s="18"/>
      <c r="I271" s="18"/>
      <c r="J271" s="18"/>
      <c r="K271" s="18"/>
      <c r="L271" s="18"/>
      <c r="M271" s="18"/>
      <c r="N271" s="18"/>
      <c r="O271" s="18"/>
      <c r="P271" s="18"/>
      <c r="Q271" s="129"/>
      <c r="R271" s="124"/>
      <c r="S271" s="124"/>
    </row>
    <row r="272" spans="7:27" x14ac:dyDescent="0.25">
      <c r="G272" s="18"/>
      <c r="H272" s="18"/>
      <c r="I272" s="18"/>
      <c r="J272" s="18"/>
      <c r="K272" s="18"/>
      <c r="L272" s="18"/>
      <c r="M272" s="18"/>
      <c r="N272" s="18"/>
      <c r="O272" s="18"/>
      <c r="P272" s="18"/>
      <c r="Q272" s="129"/>
      <c r="R272" s="124"/>
      <c r="S272" s="124"/>
    </row>
    <row r="273" spans="7:19" x14ac:dyDescent="0.25">
      <c r="G273" s="18"/>
      <c r="H273" s="18"/>
      <c r="I273" s="18"/>
      <c r="J273" s="18"/>
      <c r="K273" s="18"/>
      <c r="L273" s="18"/>
      <c r="M273" s="18"/>
      <c r="N273" s="18"/>
      <c r="O273" s="18"/>
      <c r="P273" s="18"/>
      <c r="Q273" s="129"/>
      <c r="R273" s="124"/>
      <c r="S273" s="124"/>
    </row>
    <row r="275" spans="7:19" x14ac:dyDescent="0.25">
      <c r="G275" s="18"/>
      <c r="H275" s="18"/>
      <c r="I275" s="18"/>
      <c r="J275" s="18"/>
      <c r="K275" s="18"/>
      <c r="L275" s="18"/>
      <c r="M275" s="18"/>
      <c r="N275" s="18"/>
      <c r="O275" s="18"/>
      <c r="P275" s="18"/>
      <c r="Q275" s="129"/>
      <c r="R275" s="124"/>
      <c r="S275" s="124"/>
    </row>
    <row r="276" spans="7:19" x14ac:dyDescent="0.25">
      <c r="G276" s="18"/>
      <c r="H276" s="18"/>
      <c r="I276" s="18"/>
      <c r="J276" s="18"/>
      <c r="K276" s="18"/>
      <c r="L276" s="18"/>
      <c r="M276" s="18"/>
      <c r="N276" s="18"/>
      <c r="O276" s="18"/>
      <c r="P276" s="18"/>
      <c r="Q276" s="129"/>
      <c r="R276" s="124"/>
      <c r="S276" s="124"/>
    </row>
    <row r="277" spans="7:19" x14ac:dyDescent="0.25">
      <c r="G277" s="18"/>
      <c r="H277" s="18"/>
      <c r="I277" s="18"/>
      <c r="J277" s="18"/>
      <c r="K277" s="18"/>
      <c r="L277" s="18"/>
      <c r="M277" s="18"/>
      <c r="N277" s="18"/>
      <c r="O277" s="18"/>
      <c r="P277" s="18"/>
      <c r="Q277" s="129"/>
      <c r="R277" s="124"/>
      <c r="S277" s="124"/>
    </row>
    <row r="278" spans="7:19" x14ac:dyDescent="0.25">
      <c r="G278" s="18"/>
      <c r="H278" s="18"/>
      <c r="I278" s="18"/>
      <c r="J278" s="18"/>
      <c r="K278" s="18"/>
      <c r="L278" s="18"/>
      <c r="M278" s="18"/>
      <c r="N278" s="18"/>
      <c r="O278" s="18"/>
      <c r="P278" s="18"/>
      <c r="Q278" s="129"/>
      <c r="R278" s="124"/>
      <c r="S278" s="124"/>
    </row>
    <row r="279" spans="7:19" x14ac:dyDescent="0.25">
      <c r="G279" s="18"/>
      <c r="H279" s="18"/>
      <c r="I279" s="18"/>
      <c r="J279" s="18"/>
      <c r="K279" s="18"/>
      <c r="L279" s="18"/>
      <c r="M279" s="18"/>
      <c r="N279" s="18"/>
      <c r="O279" s="18"/>
      <c r="P279" s="18"/>
      <c r="Q279" s="129"/>
      <c r="R279" s="124"/>
      <c r="S279" s="124"/>
    </row>
    <row r="281" spans="7:19" x14ac:dyDescent="0.25">
      <c r="G281" s="18"/>
      <c r="H281" s="18"/>
      <c r="I281" s="18"/>
      <c r="J281" s="18"/>
      <c r="K281" s="18"/>
      <c r="L281" s="18"/>
      <c r="M281" s="18"/>
      <c r="N281" s="18"/>
      <c r="O281" s="18"/>
      <c r="P281" s="18"/>
      <c r="Q281" s="129"/>
      <c r="R281" s="124"/>
      <c r="S281" s="124"/>
    </row>
    <row r="282" spans="7:19" x14ac:dyDescent="0.25">
      <c r="G282" s="18"/>
      <c r="H282" s="18"/>
      <c r="I282" s="18"/>
      <c r="J282" s="18"/>
      <c r="K282" s="18"/>
      <c r="L282" s="18"/>
      <c r="M282" s="18"/>
      <c r="N282" s="18"/>
      <c r="O282" s="18"/>
      <c r="P282" s="18"/>
      <c r="Q282" s="129"/>
      <c r="R282" s="124"/>
      <c r="S282" s="124"/>
    </row>
    <row r="284" spans="7:19" x14ac:dyDescent="0.25">
      <c r="G284" s="18"/>
      <c r="H284" s="18"/>
      <c r="I284" s="18"/>
      <c r="J284" s="18"/>
      <c r="K284" s="18"/>
      <c r="L284" s="18"/>
      <c r="M284" s="18"/>
      <c r="N284" s="18"/>
      <c r="O284" s="18"/>
      <c r="P284" s="18"/>
      <c r="Q284" s="129"/>
      <c r="R284" s="124"/>
      <c r="S284" s="124"/>
    </row>
    <row r="285" spans="7:19" x14ac:dyDescent="0.25">
      <c r="G285" s="18"/>
      <c r="H285" s="18"/>
      <c r="I285" s="18"/>
      <c r="J285" s="18"/>
      <c r="K285" s="18"/>
      <c r="L285" s="18"/>
      <c r="M285" s="18"/>
      <c r="N285" s="18"/>
      <c r="O285" s="18"/>
      <c r="P285" s="18"/>
      <c r="Q285" s="129"/>
      <c r="R285" s="124"/>
      <c r="S285" s="124"/>
    </row>
    <row r="286" spans="7:19" x14ac:dyDescent="0.25">
      <c r="G286" s="18"/>
      <c r="H286" s="18"/>
      <c r="I286" s="18"/>
      <c r="J286" s="18"/>
      <c r="K286" s="18"/>
      <c r="L286" s="18"/>
      <c r="M286" s="18"/>
      <c r="N286" s="18"/>
      <c r="O286" s="18"/>
      <c r="P286" s="18"/>
      <c r="Q286" s="129"/>
      <c r="R286" s="124"/>
      <c r="S286" s="124"/>
    </row>
    <row r="287" spans="7:19" x14ac:dyDescent="0.25">
      <c r="G287" s="18"/>
      <c r="H287" s="18"/>
      <c r="I287" s="18"/>
      <c r="J287" s="18"/>
      <c r="K287" s="18"/>
      <c r="L287" s="18"/>
      <c r="M287" s="18"/>
      <c r="N287" s="18"/>
      <c r="O287" s="18"/>
      <c r="P287" s="18"/>
      <c r="Q287" s="129"/>
      <c r="R287" s="124"/>
      <c r="S287" s="124"/>
    </row>
    <row r="288" spans="7:19" x14ac:dyDescent="0.25">
      <c r="G288" s="18"/>
      <c r="H288" s="18"/>
      <c r="I288" s="18"/>
      <c r="J288" s="18"/>
      <c r="K288" s="18"/>
      <c r="L288" s="18"/>
      <c r="M288" s="18"/>
      <c r="N288" s="18"/>
      <c r="O288" s="18"/>
      <c r="P288" s="18"/>
      <c r="Q288" s="129"/>
      <c r="R288" s="124"/>
      <c r="S288" s="124"/>
    </row>
    <row r="290" spans="7:19" x14ac:dyDescent="0.25">
      <c r="G290" s="27"/>
      <c r="H290" s="27"/>
      <c r="I290" s="27"/>
      <c r="J290" s="27"/>
      <c r="K290" s="27"/>
      <c r="L290" s="27"/>
      <c r="M290" s="27"/>
      <c r="N290" s="27"/>
      <c r="O290" s="27"/>
      <c r="P290" s="27"/>
    </row>
    <row r="292" spans="7:19" x14ac:dyDescent="0.25">
      <c r="G292" s="18"/>
      <c r="H292" s="18"/>
      <c r="I292" s="18"/>
      <c r="J292" s="18"/>
      <c r="K292" s="18"/>
      <c r="L292" s="18"/>
      <c r="M292" s="18"/>
      <c r="N292" s="18"/>
      <c r="O292" s="18"/>
      <c r="P292" s="18"/>
      <c r="Q292" s="129"/>
      <c r="R292" s="124"/>
      <c r="S292" s="124"/>
    </row>
    <row r="294" spans="7:19" x14ac:dyDescent="0.25">
      <c r="G294" s="18"/>
      <c r="H294" s="18"/>
      <c r="I294" s="18"/>
      <c r="J294" s="18"/>
      <c r="K294" s="18"/>
      <c r="L294" s="18"/>
      <c r="M294" s="18"/>
      <c r="N294" s="18"/>
      <c r="O294" s="18"/>
      <c r="P294" s="18"/>
      <c r="Q294" s="129"/>
      <c r="R294" s="124"/>
      <c r="S294" s="124"/>
    </row>
    <row r="295" spans="7:19" x14ac:dyDescent="0.25">
      <c r="G295" s="18"/>
      <c r="H295" s="18"/>
      <c r="I295" s="18"/>
      <c r="J295" s="18"/>
      <c r="K295" s="18"/>
      <c r="L295" s="18"/>
      <c r="M295" s="18"/>
      <c r="N295" s="18"/>
      <c r="O295" s="18"/>
      <c r="P295" s="18"/>
      <c r="Q295" s="129"/>
      <c r="R295" s="124"/>
      <c r="S295" s="124"/>
    </row>
    <row r="296" spans="7:19" x14ac:dyDescent="0.25">
      <c r="G296" s="18"/>
      <c r="H296" s="18"/>
      <c r="I296" s="18"/>
      <c r="J296" s="18"/>
      <c r="K296" s="18"/>
      <c r="L296" s="18"/>
      <c r="M296" s="18"/>
      <c r="N296" s="18"/>
      <c r="O296" s="18"/>
      <c r="P296" s="18"/>
      <c r="Q296" s="129"/>
      <c r="R296" s="124"/>
      <c r="S296" s="124"/>
    </row>
    <row r="297" spans="7:19" x14ac:dyDescent="0.25">
      <c r="G297" s="18"/>
      <c r="H297" s="18"/>
      <c r="I297" s="18"/>
      <c r="J297" s="18"/>
      <c r="K297" s="18"/>
      <c r="L297" s="18"/>
      <c r="M297" s="18"/>
      <c r="N297" s="18"/>
      <c r="O297" s="18"/>
      <c r="P297" s="18"/>
      <c r="Q297" s="129"/>
      <c r="R297" s="124"/>
      <c r="S297" s="124"/>
    </row>
    <row r="299" spans="7:19" x14ac:dyDescent="0.25">
      <c r="G299" s="18"/>
      <c r="H299" s="18"/>
      <c r="I299" s="18"/>
      <c r="J299" s="18"/>
      <c r="K299" s="18"/>
      <c r="L299" s="18"/>
      <c r="M299" s="18"/>
      <c r="N299" s="18"/>
      <c r="O299" s="18"/>
      <c r="P299" s="18"/>
      <c r="Q299" s="129"/>
      <c r="R299" s="124"/>
      <c r="S299" s="124"/>
    </row>
    <row r="300" spans="7:19" x14ac:dyDescent="0.25">
      <c r="G300" s="18"/>
      <c r="H300" s="18"/>
      <c r="I300" s="18"/>
      <c r="J300" s="18"/>
      <c r="K300" s="18"/>
      <c r="L300" s="18"/>
      <c r="M300" s="18"/>
      <c r="N300" s="18"/>
      <c r="O300" s="18"/>
      <c r="P300" s="18"/>
      <c r="Q300" s="129"/>
      <c r="R300" s="124"/>
      <c r="S300" s="124"/>
    </row>
    <row r="301" spans="7:19" x14ac:dyDescent="0.25">
      <c r="G301" s="18"/>
      <c r="H301" s="18"/>
      <c r="I301" s="18"/>
      <c r="J301" s="18"/>
      <c r="K301" s="18"/>
      <c r="L301" s="18"/>
      <c r="M301" s="18"/>
      <c r="N301" s="18"/>
      <c r="O301" s="18"/>
      <c r="P301" s="18"/>
      <c r="Q301" s="129"/>
      <c r="R301" s="124"/>
      <c r="S301" s="124"/>
    </row>
    <row r="302" spans="7:19" x14ac:dyDescent="0.25">
      <c r="G302" s="18"/>
      <c r="H302" s="18"/>
      <c r="I302" s="18"/>
      <c r="J302" s="18"/>
      <c r="K302" s="18"/>
      <c r="L302" s="18"/>
      <c r="M302" s="18"/>
      <c r="N302" s="18"/>
      <c r="O302" s="18"/>
      <c r="P302" s="18"/>
      <c r="Q302" s="129"/>
      <c r="R302" s="124"/>
      <c r="S302" s="124"/>
    </row>
    <row r="303" spans="7:19" x14ac:dyDescent="0.25">
      <c r="G303" s="18"/>
      <c r="H303" s="18"/>
      <c r="I303" s="18"/>
      <c r="J303" s="18"/>
      <c r="K303" s="18"/>
      <c r="L303" s="18"/>
      <c r="M303" s="18"/>
      <c r="N303" s="18"/>
      <c r="O303" s="18"/>
      <c r="P303" s="18"/>
      <c r="Q303" s="129"/>
      <c r="R303" s="124"/>
      <c r="S303" s="124"/>
    </row>
    <row r="304" spans="7:19" x14ac:dyDescent="0.25">
      <c r="G304" s="18"/>
      <c r="H304" s="18"/>
      <c r="I304" s="18"/>
      <c r="J304" s="18"/>
      <c r="K304" s="18"/>
      <c r="L304" s="18"/>
      <c r="M304" s="18"/>
      <c r="N304" s="18"/>
      <c r="O304" s="18"/>
      <c r="P304" s="18"/>
      <c r="Q304" s="129"/>
      <c r="R304" s="124"/>
      <c r="S304" s="124"/>
    </row>
    <row r="306" spans="3:19" x14ac:dyDescent="0.25">
      <c r="G306" s="18"/>
      <c r="H306" s="18"/>
      <c r="I306" s="18"/>
      <c r="J306" s="18"/>
      <c r="K306" s="18"/>
      <c r="L306" s="18"/>
      <c r="M306" s="18"/>
      <c r="N306" s="18"/>
      <c r="O306" s="18"/>
      <c r="P306" s="18"/>
      <c r="Q306" s="129"/>
      <c r="R306" s="124"/>
      <c r="S306" s="124"/>
    </row>
    <row r="307" spans="3:19" x14ac:dyDescent="0.25">
      <c r="G307" s="18"/>
      <c r="H307" s="18"/>
      <c r="I307" s="18"/>
      <c r="J307" s="18"/>
      <c r="K307" s="18"/>
      <c r="L307" s="18"/>
      <c r="M307" s="18"/>
      <c r="N307" s="18"/>
      <c r="O307" s="18"/>
      <c r="P307" s="18"/>
      <c r="Q307" s="129"/>
      <c r="R307" s="124"/>
      <c r="S307" s="124"/>
    </row>
    <row r="315" spans="3:19" x14ac:dyDescent="0.25">
      <c r="C315" s="1" t="s">
        <v>1214</v>
      </c>
      <c r="G315" s="1" t="s">
        <v>891</v>
      </c>
    </row>
  </sheetData>
  <phoneticPr fontId="17" type="noConversion"/>
  <conditionalFormatting sqref="A31">
    <cfRule type="dataBar" priority="5">
      <dataBar>
        <cfvo type="min"/>
        <cfvo type="max"/>
        <color rgb="FFFF555A"/>
      </dataBar>
      <extLst>
        <ext xmlns:x14="http://schemas.microsoft.com/office/spreadsheetml/2009/9/main" uri="{B025F937-C7B1-47D3-B67F-A62EFF666E3E}">
          <x14:id>{A63C2143-E4DC-4553-9586-2F110D8F7A3D}</x14:id>
        </ext>
      </extLst>
    </cfRule>
  </conditionalFormatting>
  <conditionalFormatting sqref="B5:B24">
    <cfRule type="dataBar" priority="50">
      <dataBar>
        <cfvo type="min"/>
        <cfvo type="max"/>
        <color rgb="FFFF555A"/>
      </dataBar>
      <extLst>
        <ext xmlns:x14="http://schemas.microsoft.com/office/spreadsheetml/2009/9/main" uri="{B025F937-C7B1-47D3-B67F-A62EFF666E3E}">
          <x14:id>{A318DCB6-0258-4F26-9AF5-2714DA33EF62}</x14:id>
        </ext>
      </extLst>
    </cfRule>
  </conditionalFormatting>
  <conditionalFormatting sqref="E92:F92 E94:F95 E90 E57:F88 G2 I2:J2 E1:F34 E97:F1048576 E36:F51 E53:F55 G39:P39 L2:P2">
    <cfRule type="dataBar" priority="53">
      <dataBar>
        <cfvo type="min"/>
        <cfvo type="max"/>
        <color rgb="FFFF555A"/>
      </dataBar>
      <extLst>
        <ext xmlns:x14="http://schemas.microsoft.com/office/spreadsheetml/2009/9/main" uri="{B025F937-C7B1-47D3-B67F-A62EFF666E3E}">
          <x14:id>{94C98331-E7B0-4BD3-A08A-B0F9F356EB89}</x14:id>
        </ext>
      </extLst>
    </cfRule>
  </conditionalFormatting>
  <conditionalFormatting sqref="Q2:T2">
    <cfRule type="dataBar" priority="6">
      <dataBar>
        <cfvo type="min"/>
        <cfvo type="max"/>
        <color rgb="FFFF555A"/>
      </dataBar>
      <extLst>
        <ext xmlns:x14="http://schemas.microsoft.com/office/spreadsheetml/2009/9/main" uri="{B025F937-C7B1-47D3-B67F-A62EFF666E3E}">
          <x14:id>{0D81C225-54AA-4F8C-AD20-076A21527E15}</x14:id>
        </ext>
      </extLst>
    </cfRule>
  </conditionalFormatting>
  <conditionalFormatting sqref="Q39:T39">
    <cfRule type="dataBar" priority="8">
      <dataBar>
        <cfvo type="min"/>
        <cfvo type="max"/>
        <color rgb="FFFF555A"/>
      </dataBar>
      <extLst>
        <ext xmlns:x14="http://schemas.microsoft.com/office/spreadsheetml/2009/9/main" uri="{B025F937-C7B1-47D3-B67F-A62EFF666E3E}">
          <x14:id>{B29BB2DF-06C3-450E-926E-386C1C8F8D87}</x14:id>
        </ext>
      </extLst>
    </cfRule>
  </conditionalFormatting>
  <conditionalFormatting sqref="AC39">
    <cfRule type="dataBar" priority="1">
      <dataBar>
        <cfvo type="min"/>
        <cfvo type="max"/>
        <color rgb="FFFF555A"/>
      </dataBar>
      <extLst>
        <ext xmlns:x14="http://schemas.microsoft.com/office/spreadsheetml/2009/9/main" uri="{B025F937-C7B1-47D3-B67F-A62EFF666E3E}">
          <x14:id>{E748C2E6-B702-448B-8327-A1F889C28117}</x14:id>
        </ext>
      </extLst>
    </cfRule>
  </conditionalFormatting>
  <conditionalFormatting sqref="AC2:AE2">
    <cfRule type="dataBar" priority="3">
      <dataBar>
        <cfvo type="min"/>
        <cfvo type="max"/>
        <color rgb="FFFF555A"/>
      </dataBar>
      <extLst>
        <ext xmlns:x14="http://schemas.microsoft.com/office/spreadsheetml/2009/9/main" uri="{B025F937-C7B1-47D3-B67F-A62EFF666E3E}">
          <x14:id>{A4D46A7E-E7BF-4AFA-9DA5-81FE456E5913}</x14:id>
        </ext>
      </extLst>
    </cfRule>
  </conditionalFormatting>
  <conditionalFormatting sqref="AD39">
    <cfRule type="dataBar" priority="2">
      <dataBar>
        <cfvo type="min"/>
        <cfvo type="max"/>
        <color rgb="FFFF555A"/>
      </dataBar>
      <extLst>
        <ext xmlns:x14="http://schemas.microsoft.com/office/spreadsheetml/2009/9/main" uri="{B025F937-C7B1-47D3-B67F-A62EFF666E3E}">
          <x14:id>{D900D0A6-A85E-4803-995F-3EC6AE7BEB32}</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63C2143-E4DC-4553-9586-2F110D8F7A3D}">
            <x14:dataBar minLength="0" maxLength="100" gradient="0">
              <x14:cfvo type="autoMin"/>
              <x14:cfvo type="autoMax"/>
              <x14:negativeFillColor rgb="FFFF0000"/>
              <x14:axisColor rgb="FF000000"/>
            </x14:dataBar>
          </x14:cfRule>
          <xm:sqref>A31</xm:sqref>
        </x14:conditionalFormatting>
        <x14:conditionalFormatting xmlns:xm="http://schemas.microsoft.com/office/excel/2006/main">
          <x14:cfRule type="dataBar" id="{A318DCB6-0258-4F26-9AF5-2714DA33EF62}">
            <x14:dataBar minLength="0" maxLength="100" gradient="0">
              <x14:cfvo type="autoMin"/>
              <x14:cfvo type="autoMax"/>
              <x14:negativeFillColor rgb="FFFF0000"/>
              <x14:axisColor rgb="FF000000"/>
            </x14:dataBar>
          </x14:cfRule>
          <xm:sqref>B5:B24</xm:sqref>
        </x14:conditionalFormatting>
        <x14:conditionalFormatting xmlns:xm="http://schemas.microsoft.com/office/excel/2006/main">
          <x14:cfRule type="dataBar" id="{94C98331-E7B0-4BD3-A08A-B0F9F356EB89}">
            <x14:dataBar minLength="0" maxLength="100" gradient="0">
              <x14:cfvo type="autoMin"/>
              <x14:cfvo type="autoMax"/>
              <x14:negativeFillColor rgb="FFFF0000"/>
              <x14:axisColor rgb="FF000000"/>
            </x14:dataBar>
          </x14:cfRule>
          <xm:sqref>E92:F92 E94:F95 E90 E57:F88 G2 I2:J2 E1:F34 E97:F1048576 E36:F51 E53:F55 G39:P39 L2:P2</xm:sqref>
        </x14:conditionalFormatting>
        <x14:conditionalFormatting xmlns:xm="http://schemas.microsoft.com/office/excel/2006/main">
          <x14:cfRule type="dataBar" id="{0D81C225-54AA-4F8C-AD20-076A21527E15}">
            <x14:dataBar minLength="0" maxLength="100" gradient="0">
              <x14:cfvo type="autoMin"/>
              <x14:cfvo type="autoMax"/>
              <x14:negativeFillColor rgb="FFFF0000"/>
              <x14:axisColor rgb="FF000000"/>
            </x14:dataBar>
          </x14:cfRule>
          <xm:sqref>Q2:T2</xm:sqref>
        </x14:conditionalFormatting>
        <x14:conditionalFormatting xmlns:xm="http://schemas.microsoft.com/office/excel/2006/main">
          <x14:cfRule type="dataBar" id="{B29BB2DF-06C3-450E-926E-386C1C8F8D87}">
            <x14:dataBar minLength="0" maxLength="100" gradient="0">
              <x14:cfvo type="autoMin"/>
              <x14:cfvo type="autoMax"/>
              <x14:negativeFillColor rgb="FFFF0000"/>
              <x14:axisColor rgb="FF000000"/>
            </x14:dataBar>
          </x14:cfRule>
          <xm:sqref>Q39:T39</xm:sqref>
        </x14:conditionalFormatting>
        <x14:conditionalFormatting xmlns:xm="http://schemas.microsoft.com/office/excel/2006/main">
          <x14:cfRule type="dataBar" id="{E748C2E6-B702-448B-8327-A1F889C28117}">
            <x14:dataBar minLength="0" maxLength="100" gradient="0">
              <x14:cfvo type="autoMin"/>
              <x14:cfvo type="autoMax"/>
              <x14:negativeFillColor rgb="FFFF0000"/>
              <x14:axisColor rgb="FF000000"/>
            </x14:dataBar>
          </x14:cfRule>
          <xm:sqref>AC39</xm:sqref>
        </x14:conditionalFormatting>
        <x14:conditionalFormatting xmlns:xm="http://schemas.microsoft.com/office/excel/2006/main">
          <x14:cfRule type="dataBar" id="{A4D46A7E-E7BF-4AFA-9DA5-81FE456E5913}">
            <x14:dataBar minLength="0" maxLength="100" gradient="0">
              <x14:cfvo type="autoMin"/>
              <x14:cfvo type="autoMax"/>
              <x14:negativeFillColor rgb="FFFF0000"/>
              <x14:axisColor rgb="FF000000"/>
            </x14:dataBar>
          </x14:cfRule>
          <xm:sqref>AC2:AE2</xm:sqref>
        </x14:conditionalFormatting>
        <x14:conditionalFormatting xmlns:xm="http://schemas.microsoft.com/office/excel/2006/main">
          <x14:cfRule type="dataBar" id="{D900D0A6-A85E-4803-995F-3EC6AE7BEB32}">
            <x14:dataBar minLength="0" maxLength="100" gradient="0">
              <x14:cfvo type="autoMin"/>
              <x14:cfvo type="autoMax"/>
              <x14:negativeFillColor rgb="FFFF0000"/>
              <x14:axisColor rgb="FF000000"/>
            </x14:dataBar>
          </x14:cfRule>
          <xm:sqref>AD39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707AC-6DEC-4D31-8335-6B9F5A598722}">
  <dimension ref="A1:Y34"/>
  <sheetViews>
    <sheetView workbookViewId="0">
      <selection activeCell="D14" sqref="D14"/>
    </sheetView>
  </sheetViews>
  <sheetFormatPr baseColWidth="10" defaultColWidth="7.5703125" defaultRowHeight="15" x14ac:dyDescent="0.25"/>
  <cols>
    <col min="1" max="1" width="16.7109375" style="1" bestFit="1" customWidth="1"/>
    <col min="2" max="2" width="34.5703125" style="53" customWidth="1"/>
    <col min="3" max="3" width="18.7109375" style="53" customWidth="1"/>
    <col min="4" max="4" width="18.7109375" style="1" customWidth="1"/>
    <col min="5" max="5" width="24" style="18" customWidth="1"/>
    <col min="6" max="6" width="22" style="18" customWidth="1"/>
    <col min="7" max="7" width="31.140625" style="18" customWidth="1"/>
    <col min="8" max="8" width="34.28515625" style="18" customWidth="1"/>
    <col min="9" max="9" width="14" style="18" customWidth="1"/>
    <col min="10" max="12" width="8" style="1" bestFit="1" customWidth="1"/>
    <col min="13" max="13" width="9" style="1" bestFit="1" customWidth="1"/>
    <col min="14" max="16" width="8" style="1" bestFit="1" customWidth="1"/>
    <col min="17" max="16384" width="7.5703125" style="1"/>
  </cols>
  <sheetData>
    <row r="1" spans="1:25" s="11" customFormat="1" ht="34.5" customHeight="1" x14ac:dyDescent="0.45">
      <c r="A1" s="11" t="s">
        <v>894</v>
      </c>
      <c r="B1" s="11" t="s">
        <v>143</v>
      </c>
      <c r="C1" s="11" t="s">
        <v>1025</v>
      </c>
      <c r="D1" s="11" t="s">
        <v>1026</v>
      </c>
      <c r="E1" s="45" t="s">
        <v>975</v>
      </c>
      <c r="F1" s="45" t="s">
        <v>976</v>
      </c>
      <c r="G1" s="45" t="s">
        <v>1280</v>
      </c>
      <c r="H1" s="45" t="s">
        <v>1312</v>
      </c>
      <c r="I1" s="45"/>
      <c r="J1" s="45"/>
      <c r="K1" s="45"/>
      <c r="L1" s="45"/>
      <c r="M1" s="45"/>
      <c r="N1" s="45"/>
      <c r="O1" s="45"/>
      <c r="P1" s="45"/>
      <c r="Q1" s="45"/>
      <c r="R1" s="54"/>
      <c r="S1" s="33"/>
      <c r="T1" s="34"/>
      <c r="U1" s="32"/>
      <c r="V1" s="33"/>
      <c r="W1" s="33"/>
      <c r="X1" s="34"/>
      <c r="Y1" s="30"/>
    </row>
    <row r="2" spans="1:25" ht="30" customHeight="1" x14ac:dyDescent="0.25">
      <c r="B2" s="1" t="s">
        <v>189</v>
      </c>
      <c r="C2" s="166" t="s">
        <v>1027</v>
      </c>
      <c r="D2" s="167"/>
      <c r="J2" s="18"/>
      <c r="K2" s="18"/>
      <c r="L2" s="18"/>
      <c r="M2" s="18"/>
      <c r="N2" s="18"/>
      <c r="O2" s="18"/>
      <c r="P2" s="18"/>
      <c r="Q2" s="18"/>
    </row>
    <row r="3" spans="1:25" ht="15" customHeight="1" x14ac:dyDescent="0.25">
      <c r="J3" s="18"/>
      <c r="K3" s="18"/>
      <c r="L3" s="18"/>
      <c r="M3" s="18"/>
      <c r="N3" s="18"/>
      <c r="O3" s="18"/>
      <c r="P3" s="18"/>
      <c r="Q3" s="18"/>
    </row>
    <row r="4" spans="1:25" ht="15" customHeight="1" x14ac:dyDescent="0.25">
      <c r="B4" s="1"/>
      <c r="C4" s="1"/>
      <c r="E4" s="1"/>
      <c r="F4" s="1"/>
      <c r="J4" s="18"/>
      <c r="K4" s="18"/>
      <c r="L4" s="18"/>
      <c r="M4" s="18"/>
      <c r="N4" s="18"/>
      <c r="O4" s="18"/>
      <c r="P4" s="18"/>
      <c r="Q4" s="18"/>
    </row>
    <row r="5" spans="1:25" x14ac:dyDescent="0.25">
      <c r="A5" s="1" t="s">
        <v>1319</v>
      </c>
      <c r="B5" s="1" t="s">
        <v>1313</v>
      </c>
      <c r="C5" s="1" t="s">
        <v>1281</v>
      </c>
      <c r="E5" s="18" t="s">
        <v>1296</v>
      </c>
      <c r="F5" s="18" t="s">
        <v>1286</v>
      </c>
      <c r="G5" s="1">
        <v>15</v>
      </c>
    </row>
    <row r="6" spans="1:25" x14ac:dyDescent="0.25">
      <c r="A6" s="1" t="s">
        <v>1319</v>
      </c>
      <c r="B6" s="1" t="s">
        <v>1314</v>
      </c>
      <c r="C6" s="1" t="s">
        <v>1306</v>
      </c>
      <c r="E6" s="1" t="s">
        <v>1297</v>
      </c>
      <c r="F6" s="1" t="s">
        <v>1287</v>
      </c>
      <c r="G6" s="1">
        <v>10</v>
      </c>
    </row>
    <row r="7" spans="1:25" x14ac:dyDescent="0.25">
      <c r="A7" s="1" t="s">
        <v>1319</v>
      </c>
      <c r="B7" s="1" t="s">
        <v>1315</v>
      </c>
      <c r="C7" s="1" t="s">
        <v>1307</v>
      </c>
      <c r="E7" s="1" t="s">
        <v>1298</v>
      </c>
      <c r="F7" s="1" t="s">
        <v>1288</v>
      </c>
      <c r="G7" s="1">
        <v>5</v>
      </c>
    </row>
    <row r="8" spans="1:25" x14ac:dyDescent="0.25">
      <c r="A8" s="1" t="s">
        <v>1319</v>
      </c>
      <c r="B8" s="1" t="s">
        <v>1316</v>
      </c>
      <c r="C8" s="1" t="s">
        <v>1308</v>
      </c>
      <c r="E8" s="1" t="s">
        <v>1299</v>
      </c>
      <c r="F8" s="1" t="s">
        <v>1289</v>
      </c>
      <c r="G8" s="1">
        <v>3</v>
      </c>
      <c r="H8" s="1"/>
    </row>
    <row r="9" spans="1:25" x14ac:dyDescent="0.25">
      <c r="A9" s="1" t="s">
        <v>1319</v>
      </c>
      <c r="B9" s="1" t="s">
        <v>1317</v>
      </c>
      <c r="C9" s="1" t="s">
        <v>1309</v>
      </c>
      <c r="E9" s="1" t="s">
        <v>1300</v>
      </c>
      <c r="F9" s="1" t="s">
        <v>1290</v>
      </c>
      <c r="G9" s="1">
        <v>2</v>
      </c>
    </row>
    <row r="10" spans="1:25" x14ac:dyDescent="0.25">
      <c r="A10" s="1" t="s">
        <v>1319</v>
      </c>
      <c r="B10" s="1" t="s">
        <v>1318</v>
      </c>
      <c r="C10" s="1" t="s">
        <v>1310</v>
      </c>
      <c r="E10" s="1" t="s">
        <v>1301</v>
      </c>
      <c r="F10" s="1" t="s">
        <v>1291</v>
      </c>
      <c r="G10" s="1">
        <v>1</v>
      </c>
    </row>
    <row r="11" spans="1:25" x14ac:dyDescent="0.25">
      <c r="B11" s="1"/>
      <c r="C11" s="1"/>
      <c r="E11" s="1"/>
      <c r="F11" s="1"/>
    </row>
    <row r="12" spans="1:25" x14ac:dyDescent="0.25">
      <c r="A12" s="1" t="s">
        <v>1320</v>
      </c>
      <c r="B12" s="1" t="s">
        <v>1282</v>
      </c>
      <c r="C12" s="1" t="s">
        <v>1311</v>
      </c>
      <c r="E12" s="1" t="s">
        <v>1302</v>
      </c>
      <c r="F12" s="1" t="s">
        <v>1292</v>
      </c>
      <c r="G12" s="1">
        <v>0</v>
      </c>
    </row>
    <row r="13" spans="1:25" x14ac:dyDescent="0.25">
      <c r="A13" s="1" t="s">
        <v>1320</v>
      </c>
      <c r="B13" s="1" t="s">
        <v>1283</v>
      </c>
      <c r="C13" s="1" t="s">
        <v>1311</v>
      </c>
      <c r="E13" s="1" t="s">
        <v>1303</v>
      </c>
      <c r="F13" s="1" t="s">
        <v>1293</v>
      </c>
      <c r="G13" s="1">
        <v>0</v>
      </c>
    </row>
    <row r="14" spans="1:25" x14ac:dyDescent="0.25">
      <c r="A14" s="1" t="s">
        <v>1320</v>
      </c>
      <c r="B14" s="1" t="s">
        <v>1284</v>
      </c>
      <c r="C14" s="1" t="s">
        <v>1311</v>
      </c>
      <c r="E14" s="1" t="s">
        <v>1304</v>
      </c>
      <c r="F14" s="1" t="s">
        <v>1294</v>
      </c>
      <c r="G14" s="1">
        <v>0</v>
      </c>
    </row>
    <row r="15" spans="1:25" x14ac:dyDescent="0.25">
      <c r="A15" s="1" t="s">
        <v>1320</v>
      </c>
      <c r="B15" s="1" t="s">
        <v>1285</v>
      </c>
      <c r="C15" s="1" t="s">
        <v>1311</v>
      </c>
      <c r="E15" s="1" t="s">
        <v>1305</v>
      </c>
      <c r="F15" s="1" t="s">
        <v>1295</v>
      </c>
      <c r="G15" s="1">
        <v>0</v>
      </c>
    </row>
    <row r="16" spans="1:25" x14ac:dyDescent="0.25">
      <c r="B16" s="1"/>
      <c r="C16" s="1"/>
      <c r="E16" s="1"/>
      <c r="F16" s="1"/>
      <c r="G16" s="1"/>
    </row>
    <row r="17" spans="1:25" x14ac:dyDescent="0.25">
      <c r="B17" s="1"/>
      <c r="C17" s="1"/>
      <c r="E17" s="1"/>
      <c r="F17" s="1"/>
      <c r="G17" s="1"/>
    </row>
    <row r="18" spans="1:25" s="18" customFormat="1" x14ac:dyDescent="0.25">
      <c r="B18" s="1"/>
      <c r="C18" s="1"/>
      <c r="D18" s="1"/>
      <c r="E18" s="1"/>
      <c r="F18" s="1"/>
      <c r="J18" s="1"/>
      <c r="K18" s="1"/>
      <c r="L18" s="1"/>
      <c r="M18" s="1"/>
      <c r="N18" s="1"/>
      <c r="O18" s="1"/>
      <c r="P18" s="1"/>
      <c r="Q18" s="1"/>
      <c r="R18" s="1"/>
      <c r="S18" s="1"/>
      <c r="T18" s="1"/>
      <c r="U18" s="1"/>
      <c r="V18" s="1"/>
      <c r="W18" s="1"/>
      <c r="X18" s="1"/>
      <c r="Y18" s="1"/>
    </row>
    <row r="19" spans="1:25" ht="15.75" thickBot="1" x14ac:dyDescent="0.3">
      <c r="B19" s="1"/>
      <c r="C19" s="1"/>
      <c r="E19" s="1"/>
      <c r="F19" s="1"/>
      <c r="G19" s="1"/>
      <c r="H19" s="1"/>
      <c r="I19" s="1"/>
    </row>
    <row r="20" spans="1:25" s="81" customFormat="1" x14ac:dyDescent="0.25">
      <c r="A20" s="89" t="s">
        <v>190</v>
      </c>
      <c r="G20" s="82"/>
      <c r="H20" s="82"/>
    </row>
    <row r="21" spans="1:25" x14ac:dyDescent="0.25">
      <c r="B21" s="1"/>
      <c r="C21" s="1"/>
      <c r="E21" s="1"/>
      <c r="F21" s="1"/>
      <c r="I21" s="1"/>
    </row>
    <row r="22" spans="1:25" x14ac:dyDescent="0.25">
      <c r="B22" s="1"/>
      <c r="C22" s="1"/>
      <c r="E22" s="1"/>
      <c r="F22" s="1"/>
      <c r="G22" s="1"/>
      <c r="H22" s="1"/>
      <c r="I22" s="1"/>
    </row>
    <row r="23" spans="1:25" x14ac:dyDescent="0.25">
      <c r="B23" s="1"/>
      <c r="C23" s="1"/>
      <c r="E23" s="1"/>
      <c r="F23" s="1"/>
    </row>
    <row r="24" spans="1:25" x14ac:dyDescent="0.25">
      <c r="B24" s="1"/>
      <c r="C24" s="1"/>
      <c r="E24" s="1"/>
      <c r="F24" s="1"/>
    </row>
    <row r="25" spans="1:25" x14ac:dyDescent="0.25">
      <c r="B25" s="1"/>
      <c r="C25" s="1"/>
      <c r="E25" s="1"/>
      <c r="F25" s="1"/>
    </row>
    <row r="26" spans="1:25" x14ac:dyDescent="0.25">
      <c r="B26" s="1"/>
    </row>
    <row r="27" spans="1:25" x14ac:dyDescent="0.25">
      <c r="B27" s="1"/>
      <c r="C27" s="1"/>
      <c r="E27" s="1"/>
      <c r="F27" s="1"/>
    </row>
    <row r="28" spans="1:25" x14ac:dyDescent="0.25">
      <c r="B28" s="1"/>
    </row>
    <row r="29" spans="1:25" x14ac:dyDescent="0.25">
      <c r="B29" s="1"/>
    </row>
    <row r="30" spans="1:25" x14ac:dyDescent="0.25">
      <c r="B30" s="1"/>
    </row>
    <row r="31" spans="1:25" x14ac:dyDescent="0.25">
      <c r="B31" s="1"/>
    </row>
    <row r="32" spans="1:25" x14ac:dyDescent="0.25">
      <c r="B32" s="1"/>
    </row>
    <row r="34" spans="2:25" s="18" customFormat="1" x14ac:dyDescent="0.25">
      <c r="B34" s="53"/>
      <c r="C34" s="1"/>
      <c r="D34" s="1"/>
      <c r="E34" s="1"/>
      <c r="F34" s="1"/>
      <c r="J34" s="1"/>
      <c r="K34" s="1"/>
      <c r="L34" s="1"/>
      <c r="M34" s="1"/>
      <c r="N34" s="1"/>
      <c r="O34" s="1"/>
      <c r="P34" s="1"/>
      <c r="Q34" s="1"/>
      <c r="R34" s="1"/>
      <c r="S34" s="1"/>
      <c r="T34" s="1"/>
      <c r="U34" s="1"/>
      <c r="V34" s="1"/>
      <c r="W34" s="1"/>
      <c r="X34" s="1"/>
      <c r="Y34" s="1"/>
    </row>
  </sheetData>
  <mergeCells count="1">
    <mergeCell ref="C2:D2"/>
  </mergeCells>
  <conditionalFormatting sqref="A20">
    <cfRule type="iconSet" priority="2">
      <iconSet iconSet="5Rating">
        <cfvo type="percent" val="0"/>
        <cfvo type="percent" val="20"/>
        <cfvo type="percent" val="40"/>
        <cfvo type="percent" val="60"/>
        <cfvo type="percent" val="80"/>
      </iconSet>
    </cfRule>
  </conditionalFormatting>
  <conditionalFormatting sqref="U1:V1 R1">
    <cfRule type="iconSet" priority="1">
      <iconSet iconSet="5Rating">
        <cfvo type="percent" val="0"/>
        <cfvo type="percent" val="20"/>
        <cfvo type="percent" val="40"/>
        <cfvo type="percent" val="60"/>
        <cfvo type="percent" val="80"/>
      </iconSet>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F4D59-07DC-4B11-89EF-3DB1ECAA5045}">
  <dimension ref="A1"/>
  <sheetViews>
    <sheetView workbookViewId="0"/>
  </sheetViews>
  <sheetFormatPr baseColWidth="10"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A5AE-4B94-4EA8-A58B-ADD46A4C93F1}">
  <dimension ref="A1:S497"/>
  <sheetViews>
    <sheetView workbookViewId="0">
      <selection activeCell="D26" sqref="D26"/>
    </sheetView>
  </sheetViews>
  <sheetFormatPr baseColWidth="10" defaultColWidth="19.42578125" defaultRowHeight="15" x14ac:dyDescent="0.25"/>
  <cols>
    <col min="1" max="1" width="33.42578125" style="37" customWidth="1"/>
    <col min="2" max="2" width="37.28515625" style="1" customWidth="1"/>
    <col min="3" max="3" width="20.5703125" style="1" customWidth="1"/>
    <col min="4" max="4" width="21.85546875" style="1" customWidth="1"/>
    <col min="5" max="5" width="4.85546875" style="1" customWidth="1"/>
    <col min="6" max="6" width="28.140625" style="38" customWidth="1"/>
    <col min="7" max="7" width="8.42578125" style="37" customWidth="1"/>
    <col min="8" max="8" width="8.42578125" style="1" customWidth="1"/>
    <col min="9" max="9" width="7.7109375" style="1" customWidth="1"/>
    <col min="10" max="10" width="7.7109375" style="38" customWidth="1"/>
    <col min="11" max="11" width="8.42578125" style="37" customWidth="1"/>
    <col min="12" max="12" width="8.42578125" style="1" customWidth="1"/>
    <col min="13" max="13" width="7.7109375" style="1" customWidth="1"/>
    <col min="14" max="14" width="7.7109375" style="38" customWidth="1"/>
    <col min="15" max="15" width="8.42578125" style="37" customWidth="1"/>
    <col min="16" max="16" width="8.42578125" style="1" customWidth="1"/>
    <col min="17" max="17" width="7.7109375" style="1" customWidth="1"/>
    <col min="18" max="18" width="7.7109375" style="38" customWidth="1"/>
    <col min="19" max="19" width="19.42578125" style="31"/>
    <col min="20" max="16384" width="19.42578125" style="1"/>
  </cols>
  <sheetData>
    <row r="1" spans="1:19" s="11" customFormat="1" ht="34.5" customHeight="1" x14ac:dyDescent="0.45">
      <c r="A1" s="32" t="s">
        <v>143</v>
      </c>
      <c r="B1" s="33" t="s">
        <v>144</v>
      </c>
      <c r="C1" s="33" t="s">
        <v>145</v>
      </c>
      <c r="D1" s="33" t="s">
        <v>511</v>
      </c>
      <c r="E1" s="33" t="s">
        <v>146</v>
      </c>
      <c r="F1" s="34" t="s">
        <v>155</v>
      </c>
      <c r="G1" s="32" t="s">
        <v>807</v>
      </c>
      <c r="H1" s="33" t="s">
        <v>808</v>
      </c>
      <c r="I1" s="33" t="s">
        <v>811</v>
      </c>
      <c r="J1" s="34" t="s">
        <v>812</v>
      </c>
      <c r="K1" s="32" t="s">
        <v>814</v>
      </c>
      <c r="L1" s="33" t="s">
        <v>815</v>
      </c>
      <c r="M1" s="33" t="s">
        <v>816</v>
      </c>
      <c r="N1" s="34" t="s">
        <v>817</v>
      </c>
      <c r="O1" s="32" t="s">
        <v>819</v>
      </c>
      <c r="P1" s="33" t="s">
        <v>820</v>
      </c>
      <c r="Q1" s="33" t="s">
        <v>821</v>
      </c>
      <c r="R1" s="34" t="s">
        <v>822</v>
      </c>
      <c r="S1" s="30"/>
    </row>
    <row r="2" spans="1:19" s="28" customFormat="1" ht="21" customHeight="1" x14ac:dyDescent="0.25">
      <c r="A2" s="35" t="s">
        <v>189</v>
      </c>
      <c r="F2" s="36"/>
      <c r="G2" s="168" t="s">
        <v>809</v>
      </c>
      <c r="H2" s="169"/>
      <c r="I2" s="169"/>
      <c r="J2" s="170"/>
      <c r="K2" s="168" t="s">
        <v>818</v>
      </c>
      <c r="L2" s="169"/>
      <c r="M2" s="169"/>
      <c r="N2" s="170"/>
      <c r="O2" s="168" t="s">
        <v>823</v>
      </c>
      <c r="P2" s="169"/>
      <c r="Q2" s="169"/>
      <c r="R2" s="170"/>
      <c r="S2" s="29"/>
    </row>
    <row r="3" spans="1:19" s="28" customFormat="1" ht="21" customHeight="1" x14ac:dyDescent="0.25">
      <c r="A3" s="35" t="s">
        <v>189</v>
      </c>
      <c r="F3" s="36"/>
      <c r="G3" s="168" t="s">
        <v>810</v>
      </c>
      <c r="H3" s="171"/>
      <c r="I3" s="172" t="s">
        <v>813</v>
      </c>
      <c r="J3" s="170"/>
      <c r="K3" s="168" t="s">
        <v>810</v>
      </c>
      <c r="L3" s="171"/>
      <c r="M3" s="172" t="s">
        <v>813</v>
      </c>
      <c r="N3" s="170"/>
      <c r="O3" s="168" t="s">
        <v>810</v>
      </c>
      <c r="P3" s="171"/>
      <c r="Q3" s="172" t="s">
        <v>813</v>
      </c>
      <c r="R3" s="170"/>
      <c r="S3" s="29"/>
    </row>
    <row r="4" spans="1:19" x14ac:dyDescent="0.25">
      <c r="A4" s="39" t="s">
        <v>837</v>
      </c>
      <c r="B4" s="41" t="s">
        <v>838</v>
      </c>
    </row>
    <row r="5" spans="1:19" x14ac:dyDescent="0.25">
      <c r="A5" s="39"/>
      <c r="B5" s="41"/>
    </row>
    <row r="6" spans="1:19" x14ac:dyDescent="0.25">
      <c r="A6" s="37" t="s">
        <v>794</v>
      </c>
      <c r="B6" s="1" t="s">
        <v>790</v>
      </c>
      <c r="C6" s="1" t="s">
        <v>793</v>
      </c>
      <c r="K6" s="37">
        <v>0</v>
      </c>
      <c r="L6" s="1">
        <v>0</v>
      </c>
      <c r="M6" s="1">
        <v>0.1</v>
      </c>
      <c r="N6" s="38">
        <v>0.1</v>
      </c>
    </row>
    <row r="7" spans="1:19" x14ac:dyDescent="0.25">
      <c r="A7" s="37" t="s">
        <v>795</v>
      </c>
      <c r="B7" s="1" t="s">
        <v>791</v>
      </c>
      <c r="C7" s="1" t="s">
        <v>793</v>
      </c>
      <c r="K7" s="37">
        <v>0.6</v>
      </c>
      <c r="L7" s="1">
        <v>0.6</v>
      </c>
      <c r="M7" s="1">
        <v>0.4</v>
      </c>
      <c r="N7" s="38">
        <v>0.4</v>
      </c>
      <c r="O7" s="37">
        <v>1.2</v>
      </c>
      <c r="P7" s="1">
        <v>4</v>
      </c>
      <c r="Q7" s="1">
        <v>0.4</v>
      </c>
      <c r="R7" s="38">
        <v>3</v>
      </c>
    </row>
    <row r="8" spans="1:19" x14ac:dyDescent="0.25">
      <c r="A8" s="37" t="s">
        <v>796</v>
      </c>
      <c r="B8" s="1" t="s">
        <v>792</v>
      </c>
      <c r="C8" s="1" t="s">
        <v>793</v>
      </c>
      <c r="K8" s="37">
        <v>0.8</v>
      </c>
      <c r="L8" s="1">
        <v>0.8</v>
      </c>
      <c r="M8" s="1">
        <v>0.6</v>
      </c>
      <c r="N8" s="38">
        <v>0.6</v>
      </c>
      <c r="O8" s="37">
        <v>1.4</v>
      </c>
      <c r="P8" s="1">
        <v>4</v>
      </c>
      <c r="Q8" s="1">
        <v>0.6</v>
      </c>
      <c r="R8" s="38">
        <v>4</v>
      </c>
    </row>
    <row r="10" spans="1:19" x14ac:dyDescent="0.25">
      <c r="A10" s="37" t="s">
        <v>827</v>
      </c>
      <c r="B10" s="1" t="s">
        <v>824</v>
      </c>
      <c r="C10" s="1" t="s">
        <v>793</v>
      </c>
      <c r="K10" s="37">
        <v>1</v>
      </c>
      <c r="L10" s="1">
        <v>1</v>
      </c>
    </row>
    <row r="11" spans="1:19" x14ac:dyDescent="0.25">
      <c r="A11" s="37" t="s">
        <v>828</v>
      </c>
      <c r="B11" s="1" t="s">
        <v>825</v>
      </c>
      <c r="C11" s="1" t="s">
        <v>793</v>
      </c>
    </row>
    <row r="12" spans="1:19" x14ac:dyDescent="0.25">
      <c r="A12" s="37" t="s">
        <v>829</v>
      </c>
      <c r="B12" s="1" t="s">
        <v>826</v>
      </c>
      <c r="C12" s="1" t="s">
        <v>793</v>
      </c>
    </row>
    <row r="14" spans="1:19" x14ac:dyDescent="0.25">
      <c r="A14" s="37" t="s">
        <v>832</v>
      </c>
      <c r="B14" s="1" t="s">
        <v>831</v>
      </c>
      <c r="C14" s="1" t="s">
        <v>793</v>
      </c>
      <c r="E14" s="1" t="s">
        <v>830</v>
      </c>
    </row>
    <row r="15" spans="1:19" x14ac:dyDescent="0.25">
      <c r="A15" s="37" t="s">
        <v>833</v>
      </c>
      <c r="B15" s="1" t="s">
        <v>834</v>
      </c>
      <c r="C15" s="1" t="s">
        <v>793</v>
      </c>
    </row>
    <row r="19" spans="1:3" x14ac:dyDescent="0.25">
      <c r="A19" s="39" t="s">
        <v>844</v>
      </c>
      <c r="B19" s="41" t="s">
        <v>841</v>
      </c>
    </row>
    <row r="20" spans="1:3" x14ac:dyDescent="0.25">
      <c r="A20" s="39"/>
      <c r="B20" s="41"/>
    </row>
    <row r="21" spans="1:3" x14ac:dyDescent="0.25">
      <c r="A21" s="37" t="s">
        <v>839</v>
      </c>
      <c r="C21" s="1" t="s">
        <v>845</v>
      </c>
    </row>
    <row r="22" spans="1:3" x14ac:dyDescent="0.25">
      <c r="A22" s="37" t="s">
        <v>836</v>
      </c>
      <c r="C22" s="1" t="s">
        <v>845</v>
      </c>
    </row>
    <row r="23" spans="1:3" x14ac:dyDescent="0.25">
      <c r="A23" s="37" t="s">
        <v>835</v>
      </c>
      <c r="C23" s="1" t="s">
        <v>845</v>
      </c>
    </row>
    <row r="27" spans="1:3" x14ac:dyDescent="0.25">
      <c r="A27" s="39" t="s">
        <v>806</v>
      </c>
      <c r="B27" s="41" t="s">
        <v>864</v>
      </c>
    </row>
    <row r="29" spans="1:3" x14ac:dyDescent="0.25">
      <c r="A29" s="37" t="s">
        <v>843</v>
      </c>
    </row>
    <row r="30" spans="1:3" x14ac:dyDescent="0.25">
      <c r="A30" s="37" t="s">
        <v>856</v>
      </c>
    </row>
    <row r="31" spans="1:3" x14ac:dyDescent="0.25">
      <c r="A31" s="37" t="s">
        <v>854</v>
      </c>
      <c r="B31" s="1" t="s">
        <v>853</v>
      </c>
    </row>
    <row r="32" spans="1:3" x14ac:dyDescent="0.25">
      <c r="A32" s="37" t="s">
        <v>861</v>
      </c>
      <c r="B32" s="1" t="s">
        <v>860</v>
      </c>
    </row>
    <row r="33" spans="1:2" x14ac:dyDescent="0.25">
      <c r="A33" s="37" t="s">
        <v>857</v>
      </c>
    </row>
    <row r="34" spans="1:2" x14ac:dyDescent="0.25">
      <c r="A34" s="1" t="s">
        <v>862</v>
      </c>
    </row>
    <row r="35" spans="1:2" x14ac:dyDescent="0.25">
      <c r="A35" s="1" t="s">
        <v>863</v>
      </c>
    </row>
    <row r="36" spans="1:2" x14ac:dyDescent="0.25">
      <c r="A36" s="31" t="s">
        <v>873</v>
      </c>
    </row>
    <row r="40" spans="1:2" x14ac:dyDescent="0.25">
      <c r="A40" s="39" t="s">
        <v>855</v>
      </c>
      <c r="B40" s="41" t="s">
        <v>858</v>
      </c>
    </row>
    <row r="42" spans="1:2" x14ac:dyDescent="0.25">
      <c r="A42" s="37" t="s">
        <v>797</v>
      </c>
    </row>
    <row r="43" spans="1:2" x14ac:dyDescent="0.25">
      <c r="A43" s="37" t="s">
        <v>859</v>
      </c>
    </row>
    <row r="44" spans="1:2" x14ac:dyDescent="0.25">
      <c r="A44" s="37" t="s">
        <v>872</v>
      </c>
    </row>
    <row r="45" spans="1:2" x14ac:dyDescent="0.25">
      <c r="A45" s="1" t="s">
        <v>865</v>
      </c>
    </row>
    <row r="49" spans="1:2" x14ac:dyDescent="0.25">
      <c r="A49" s="39" t="s">
        <v>846</v>
      </c>
    </row>
    <row r="51" spans="1:2" x14ac:dyDescent="0.25">
      <c r="A51" s="37" t="s">
        <v>852</v>
      </c>
    </row>
    <row r="52" spans="1:2" x14ac:dyDescent="0.25">
      <c r="A52" s="37" t="s">
        <v>847</v>
      </c>
    </row>
    <row r="53" spans="1:2" x14ac:dyDescent="0.25">
      <c r="A53" s="37" t="s">
        <v>848</v>
      </c>
    </row>
    <row r="54" spans="1:2" x14ac:dyDescent="0.25">
      <c r="A54" s="37" t="s">
        <v>849</v>
      </c>
    </row>
    <row r="55" spans="1:2" x14ac:dyDescent="0.25">
      <c r="A55" s="37" t="s">
        <v>850</v>
      </c>
    </row>
    <row r="56" spans="1:2" x14ac:dyDescent="0.25">
      <c r="A56" s="37" t="s">
        <v>851</v>
      </c>
    </row>
    <row r="58" spans="1:2" x14ac:dyDescent="0.25">
      <c r="A58" s="37" t="s">
        <v>871</v>
      </c>
    </row>
    <row r="60" spans="1:2" x14ac:dyDescent="0.25">
      <c r="A60" s="37" t="s">
        <v>866</v>
      </c>
    </row>
    <row r="61" spans="1:2" x14ac:dyDescent="0.25">
      <c r="A61" s="37" t="s">
        <v>867</v>
      </c>
    </row>
    <row r="62" spans="1:2" x14ac:dyDescent="0.25">
      <c r="B62" s="41"/>
    </row>
    <row r="65" spans="1:1" x14ac:dyDescent="0.25">
      <c r="A65" s="39" t="s">
        <v>869</v>
      </c>
    </row>
    <row r="67" spans="1:1" x14ac:dyDescent="0.25">
      <c r="A67" s="37" t="s">
        <v>874</v>
      </c>
    </row>
    <row r="68" spans="1:1" x14ac:dyDescent="0.25">
      <c r="A68" s="37" t="s">
        <v>875</v>
      </c>
    </row>
    <row r="69" spans="1:1" x14ac:dyDescent="0.25">
      <c r="A69" s="37" t="s">
        <v>870</v>
      </c>
    </row>
    <row r="74" spans="1:1" x14ac:dyDescent="0.25">
      <c r="A74" s="37" t="s">
        <v>868</v>
      </c>
    </row>
    <row r="85" spans="1:3" x14ac:dyDescent="0.25">
      <c r="A85" s="37" t="s">
        <v>840</v>
      </c>
      <c r="C85" s="1" t="s">
        <v>842</v>
      </c>
    </row>
    <row r="86" spans="1:3" x14ac:dyDescent="0.25">
      <c r="C86" s="1" t="s">
        <v>842</v>
      </c>
    </row>
    <row r="90" spans="1:3" x14ac:dyDescent="0.25">
      <c r="B90" s="1" t="s">
        <v>789</v>
      </c>
    </row>
    <row r="92" spans="1:3" x14ac:dyDescent="0.25">
      <c r="A92" s="37" t="s">
        <v>783</v>
      </c>
      <c r="B92" s="1" t="s">
        <v>786</v>
      </c>
    </row>
    <row r="93" spans="1:3" x14ac:dyDescent="0.25">
      <c r="A93" s="37" t="s">
        <v>784</v>
      </c>
      <c r="B93" s="1" t="s">
        <v>787</v>
      </c>
    </row>
    <row r="94" spans="1:3" x14ac:dyDescent="0.25">
      <c r="A94" s="37" t="s">
        <v>785</v>
      </c>
      <c r="B94" s="1" t="s">
        <v>788</v>
      </c>
    </row>
    <row r="97" spans="1:1" x14ac:dyDescent="0.25">
      <c r="A97" s="37" t="s">
        <v>797</v>
      </c>
    </row>
    <row r="99" spans="1:1" x14ac:dyDescent="0.25">
      <c r="A99" s="39" t="s">
        <v>805</v>
      </c>
    </row>
    <row r="116" spans="1:15" x14ac:dyDescent="0.25">
      <c r="A116" s="39" t="s">
        <v>186</v>
      </c>
    </row>
    <row r="117" spans="1:15" x14ac:dyDescent="0.25">
      <c r="A117" s="37" t="s">
        <v>159</v>
      </c>
      <c r="B117" s="1" t="s">
        <v>156</v>
      </c>
      <c r="C117" s="1" t="s">
        <v>161</v>
      </c>
      <c r="D117" s="1" t="s">
        <v>167</v>
      </c>
      <c r="G117" s="37">
        <v>0</v>
      </c>
      <c r="K117" s="37">
        <v>0</v>
      </c>
      <c r="O117" s="37">
        <v>0</v>
      </c>
    </row>
    <row r="118" spans="1:15" x14ac:dyDescent="0.25">
      <c r="A118" s="37" t="s">
        <v>166</v>
      </c>
      <c r="B118" s="1" t="s">
        <v>165</v>
      </c>
      <c r="C118" s="1" t="s">
        <v>161</v>
      </c>
      <c r="D118" s="1" t="s">
        <v>167</v>
      </c>
      <c r="F118" s="38" t="s">
        <v>159</v>
      </c>
      <c r="G118" s="37">
        <v>0</v>
      </c>
      <c r="K118" s="37">
        <v>0</v>
      </c>
      <c r="O118" s="37">
        <v>0</v>
      </c>
    </row>
    <row r="119" spans="1:15" x14ac:dyDescent="0.25">
      <c r="A119" s="37" t="s">
        <v>164</v>
      </c>
      <c r="B119" s="1" t="s">
        <v>163</v>
      </c>
      <c r="C119" s="1" t="s">
        <v>161</v>
      </c>
      <c r="D119" s="1" t="s">
        <v>167</v>
      </c>
      <c r="F119" s="38" t="s">
        <v>166</v>
      </c>
      <c r="G119" s="37">
        <v>1</v>
      </c>
      <c r="K119" s="37">
        <v>1</v>
      </c>
      <c r="O119" s="37">
        <v>1</v>
      </c>
    </row>
    <row r="120" spans="1:15" x14ac:dyDescent="0.25">
      <c r="A120" s="37" t="s">
        <v>160</v>
      </c>
      <c r="B120" s="1" t="s">
        <v>158</v>
      </c>
      <c r="C120" s="1" t="s">
        <v>161</v>
      </c>
      <c r="D120" s="1" t="s">
        <v>167</v>
      </c>
      <c r="F120" s="38" t="s">
        <v>164</v>
      </c>
      <c r="G120" s="37">
        <v>1</v>
      </c>
      <c r="K120" s="37">
        <v>1</v>
      </c>
      <c r="O120" s="37">
        <v>1</v>
      </c>
    </row>
    <row r="122" spans="1:15" x14ac:dyDescent="0.25">
      <c r="D122" s="1" t="s">
        <v>35</v>
      </c>
    </row>
    <row r="123" spans="1:15" x14ac:dyDescent="0.25">
      <c r="D123" s="1" t="s">
        <v>40</v>
      </c>
    </row>
    <row r="124" spans="1:15" x14ac:dyDescent="0.25">
      <c r="D124" s="1" t="s">
        <v>42</v>
      </c>
    </row>
    <row r="126" spans="1:15" x14ac:dyDescent="0.25">
      <c r="D126" s="1" t="s">
        <v>38</v>
      </c>
    </row>
    <row r="129" spans="1:15" x14ac:dyDescent="0.25">
      <c r="A129" s="39" t="s">
        <v>184</v>
      </c>
    </row>
    <row r="130" spans="1:15" x14ac:dyDescent="0.25">
      <c r="A130" s="40"/>
    </row>
    <row r="131" spans="1:15" x14ac:dyDescent="0.25">
      <c r="A131" s="37" t="s">
        <v>170</v>
      </c>
      <c r="B131" s="1" t="s">
        <v>169</v>
      </c>
      <c r="C131" s="1" t="s">
        <v>168</v>
      </c>
      <c r="D131" s="1" t="s">
        <v>188</v>
      </c>
      <c r="G131" s="37">
        <v>0</v>
      </c>
      <c r="K131" s="37">
        <v>0</v>
      </c>
      <c r="O131" s="37">
        <v>0</v>
      </c>
    </row>
    <row r="132" spans="1:15" x14ac:dyDescent="0.25">
      <c r="A132" s="37" t="s">
        <v>173</v>
      </c>
      <c r="B132" s="1" t="s">
        <v>45</v>
      </c>
      <c r="C132" s="1" t="s">
        <v>168</v>
      </c>
      <c r="D132" s="1" t="s">
        <v>188</v>
      </c>
      <c r="F132" s="38" t="s">
        <v>170</v>
      </c>
      <c r="G132" s="37">
        <v>1</v>
      </c>
      <c r="K132" s="37">
        <v>1</v>
      </c>
      <c r="O132" s="37">
        <v>1</v>
      </c>
    </row>
    <row r="133" spans="1:15" x14ac:dyDescent="0.25">
      <c r="A133" s="37" t="s">
        <v>174</v>
      </c>
      <c r="B133" s="1" t="s">
        <v>171</v>
      </c>
      <c r="C133" s="1" t="s">
        <v>168</v>
      </c>
      <c r="D133" s="1" t="s">
        <v>188</v>
      </c>
      <c r="F133" s="38" t="s">
        <v>170</v>
      </c>
      <c r="G133" s="37">
        <v>1</v>
      </c>
      <c r="K133" s="37">
        <v>1</v>
      </c>
      <c r="O133" s="37">
        <v>1</v>
      </c>
    </row>
    <row r="134" spans="1:15" x14ac:dyDescent="0.25">
      <c r="A134" s="37" t="s">
        <v>182</v>
      </c>
      <c r="B134" s="1" t="s">
        <v>183</v>
      </c>
      <c r="C134" s="1" t="s">
        <v>168</v>
      </c>
      <c r="D134" s="1" t="s">
        <v>188</v>
      </c>
      <c r="F134" s="38" t="s">
        <v>159</v>
      </c>
      <c r="G134" s="37">
        <v>1</v>
      </c>
      <c r="K134" s="37">
        <v>1</v>
      </c>
      <c r="O134" s="37">
        <v>1</v>
      </c>
    </row>
    <row r="135" spans="1:15" x14ac:dyDescent="0.25">
      <c r="A135" s="37" t="s">
        <v>175</v>
      </c>
      <c r="B135" s="1" t="s">
        <v>172</v>
      </c>
      <c r="C135" s="1" t="s">
        <v>168</v>
      </c>
      <c r="D135" s="1" t="s">
        <v>188</v>
      </c>
      <c r="F135" s="38" t="s">
        <v>182</v>
      </c>
      <c r="G135" s="37">
        <v>1</v>
      </c>
      <c r="K135" s="37">
        <v>1</v>
      </c>
      <c r="O135" s="37">
        <v>1</v>
      </c>
    </row>
    <row r="139" spans="1:15" x14ac:dyDescent="0.25">
      <c r="A139" s="39" t="s">
        <v>185</v>
      </c>
    </row>
    <row r="140" spans="1:15" x14ac:dyDescent="0.25">
      <c r="A140" s="40"/>
    </row>
    <row r="141" spans="1:15" x14ac:dyDescent="0.25">
      <c r="A141" s="37" t="s">
        <v>179</v>
      </c>
      <c r="B141" s="1" t="s">
        <v>176</v>
      </c>
      <c r="C141" s="1" t="s">
        <v>187</v>
      </c>
      <c r="D141" s="1" t="s">
        <v>188</v>
      </c>
      <c r="F141" s="38" t="s">
        <v>182</v>
      </c>
      <c r="G141" s="37">
        <v>1</v>
      </c>
      <c r="K141" s="37">
        <v>1</v>
      </c>
      <c r="O141" s="37">
        <v>1</v>
      </c>
    </row>
    <row r="142" spans="1:15" x14ac:dyDescent="0.25">
      <c r="A142" s="37" t="s">
        <v>180</v>
      </c>
      <c r="B142" s="1" t="s">
        <v>177</v>
      </c>
      <c r="C142" s="1" t="s">
        <v>187</v>
      </c>
      <c r="D142" s="1" t="s">
        <v>188</v>
      </c>
      <c r="F142" s="38" t="s">
        <v>179</v>
      </c>
      <c r="G142" s="37">
        <v>2</v>
      </c>
      <c r="K142" s="37">
        <v>2</v>
      </c>
      <c r="O142" s="37">
        <v>2</v>
      </c>
    </row>
    <row r="143" spans="1:15" x14ac:dyDescent="0.25">
      <c r="A143" s="37" t="s">
        <v>181</v>
      </c>
      <c r="B143" s="1" t="s">
        <v>178</v>
      </c>
      <c r="C143" s="1" t="s">
        <v>187</v>
      </c>
      <c r="D143" s="1" t="s">
        <v>188</v>
      </c>
      <c r="F143" s="38" t="s">
        <v>180</v>
      </c>
      <c r="G143" s="37">
        <v>3</v>
      </c>
      <c r="K143" s="37">
        <v>3</v>
      </c>
      <c r="O143" s="37">
        <v>3</v>
      </c>
    </row>
    <row r="147" spans="1:15" x14ac:dyDescent="0.25">
      <c r="A147" s="39" t="s">
        <v>232</v>
      </c>
    </row>
    <row r="149" spans="1:15" x14ac:dyDescent="0.25">
      <c r="A149" s="37" t="s">
        <v>193</v>
      </c>
      <c r="B149" s="1" t="s">
        <v>194</v>
      </c>
      <c r="C149" s="1" t="s">
        <v>203</v>
      </c>
      <c r="F149" s="38" t="s">
        <v>159</v>
      </c>
      <c r="G149" s="37">
        <v>0</v>
      </c>
      <c r="K149" s="37">
        <v>0</v>
      </c>
      <c r="O149" s="37">
        <v>0</v>
      </c>
    </row>
    <row r="150" spans="1:15" x14ac:dyDescent="0.25">
      <c r="A150" s="37" t="s">
        <v>198</v>
      </c>
      <c r="B150" s="1" t="s">
        <v>197</v>
      </c>
      <c r="C150" s="1" t="s">
        <v>203</v>
      </c>
      <c r="F150" s="38" t="s">
        <v>193</v>
      </c>
      <c r="G150" s="37">
        <v>1</v>
      </c>
      <c r="K150" s="37">
        <v>1</v>
      </c>
      <c r="O150" s="37">
        <v>1</v>
      </c>
    </row>
    <row r="151" spans="1:15" x14ac:dyDescent="0.25">
      <c r="A151" s="37" t="s">
        <v>191</v>
      </c>
      <c r="B151" s="1" t="s">
        <v>195</v>
      </c>
      <c r="C151" s="1" t="s">
        <v>203</v>
      </c>
      <c r="F151" s="38" t="s">
        <v>193</v>
      </c>
      <c r="G151" s="37">
        <v>2</v>
      </c>
      <c r="K151" s="37">
        <v>2</v>
      </c>
      <c r="O151" s="37">
        <v>2</v>
      </c>
    </row>
    <row r="152" spans="1:15" x14ac:dyDescent="0.25">
      <c r="A152" s="37" t="s">
        <v>211</v>
      </c>
      <c r="B152" s="1" t="s">
        <v>212</v>
      </c>
      <c r="C152" s="1" t="s">
        <v>203</v>
      </c>
      <c r="F152" s="38" t="s">
        <v>191</v>
      </c>
      <c r="G152" s="37">
        <v>2</v>
      </c>
      <c r="K152" s="37">
        <v>2</v>
      </c>
      <c r="O152" s="37">
        <v>2</v>
      </c>
    </row>
    <row r="153" spans="1:15" x14ac:dyDescent="0.25">
      <c r="A153" s="37" t="s">
        <v>200</v>
      </c>
      <c r="B153" s="1" t="s">
        <v>199</v>
      </c>
      <c r="C153" s="1" t="s">
        <v>203</v>
      </c>
      <c r="F153" s="38" t="s">
        <v>191</v>
      </c>
      <c r="G153" s="37">
        <v>2</v>
      </c>
      <c r="K153" s="37">
        <v>2</v>
      </c>
      <c r="O153" s="37">
        <v>2</v>
      </c>
    </row>
    <row r="154" spans="1:15" x14ac:dyDescent="0.25">
      <c r="A154" s="37" t="s">
        <v>201</v>
      </c>
      <c r="B154" s="1" t="s">
        <v>202</v>
      </c>
      <c r="C154" s="1" t="s">
        <v>203</v>
      </c>
      <c r="F154" s="38" t="s">
        <v>191</v>
      </c>
      <c r="G154" s="37">
        <v>2</v>
      </c>
      <c r="K154" s="37">
        <v>2</v>
      </c>
      <c r="O154" s="37">
        <v>2</v>
      </c>
    </row>
    <row r="155" spans="1:15" x14ac:dyDescent="0.25">
      <c r="A155" s="37" t="s">
        <v>323</v>
      </c>
      <c r="B155" s="1" t="s">
        <v>319</v>
      </c>
      <c r="C155" s="1" t="s">
        <v>203</v>
      </c>
      <c r="F155" s="38" t="s">
        <v>191</v>
      </c>
      <c r="G155" s="37">
        <v>2</v>
      </c>
      <c r="K155" s="37">
        <v>2</v>
      </c>
      <c r="O155" s="37">
        <v>2</v>
      </c>
    </row>
    <row r="156" spans="1:15" x14ac:dyDescent="0.25">
      <c r="A156" s="37" t="s">
        <v>322</v>
      </c>
      <c r="B156" s="1" t="s">
        <v>320</v>
      </c>
      <c r="C156" s="1" t="s">
        <v>203</v>
      </c>
      <c r="F156" s="38" t="s">
        <v>322</v>
      </c>
      <c r="G156" s="37">
        <v>3</v>
      </c>
      <c r="K156" s="37">
        <v>3</v>
      </c>
      <c r="O156" s="37">
        <v>3</v>
      </c>
    </row>
    <row r="157" spans="1:15" x14ac:dyDescent="0.25">
      <c r="A157" s="37" t="s">
        <v>324</v>
      </c>
      <c r="B157" s="1" t="s">
        <v>321</v>
      </c>
      <c r="C157" s="1" t="s">
        <v>203</v>
      </c>
      <c r="F157" s="38" t="s">
        <v>324</v>
      </c>
      <c r="G157" s="37">
        <v>4</v>
      </c>
      <c r="K157" s="37">
        <v>4</v>
      </c>
      <c r="O157" s="37">
        <v>4</v>
      </c>
    </row>
    <row r="159" spans="1:15" x14ac:dyDescent="0.25">
      <c r="B159" s="1" t="s">
        <v>332</v>
      </c>
    </row>
    <row r="160" spans="1:15" x14ac:dyDescent="0.25">
      <c r="B160" s="1" t="s">
        <v>333</v>
      </c>
    </row>
    <row r="162" spans="1:15" x14ac:dyDescent="0.25">
      <c r="B162" s="1" t="s">
        <v>327</v>
      </c>
    </row>
    <row r="164" spans="1:15" x14ac:dyDescent="0.25">
      <c r="B164" s="1" t="s">
        <v>328</v>
      </c>
    </row>
    <row r="165" spans="1:15" x14ac:dyDescent="0.25">
      <c r="B165" s="1" t="s">
        <v>330</v>
      </c>
    </row>
    <row r="166" spans="1:15" x14ac:dyDescent="0.25">
      <c r="B166" s="1" t="s">
        <v>329</v>
      </c>
    </row>
    <row r="167" spans="1:15" x14ac:dyDescent="0.25">
      <c r="B167" s="1" t="s">
        <v>331</v>
      </c>
    </row>
    <row r="171" spans="1:15" x14ac:dyDescent="0.25">
      <c r="A171" s="37" t="s">
        <v>207</v>
      </c>
      <c r="B171" s="1" t="s">
        <v>210</v>
      </c>
      <c r="C171" s="1" t="s">
        <v>203</v>
      </c>
      <c r="D171" s="1" t="s">
        <v>168</v>
      </c>
      <c r="F171" s="38" t="s">
        <v>229</v>
      </c>
      <c r="G171" s="37">
        <v>2</v>
      </c>
      <c r="K171" s="37">
        <v>2</v>
      </c>
      <c r="O171" s="37">
        <v>2</v>
      </c>
    </row>
    <row r="172" spans="1:15" x14ac:dyDescent="0.25">
      <c r="A172" s="37" t="s">
        <v>208</v>
      </c>
      <c r="B172" s="1" t="s">
        <v>209</v>
      </c>
      <c r="C172" s="1" t="s">
        <v>203</v>
      </c>
      <c r="D172" s="1" t="s">
        <v>168</v>
      </c>
      <c r="F172" s="38" t="s">
        <v>230</v>
      </c>
      <c r="G172" s="37">
        <v>3</v>
      </c>
      <c r="K172" s="37">
        <v>3</v>
      </c>
      <c r="O172" s="37">
        <v>3</v>
      </c>
    </row>
    <row r="176" spans="1:15" x14ac:dyDescent="0.25">
      <c r="A176" s="39" t="s">
        <v>231</v>
      </c>
    </row>
    <row r="178" spans="1:15" x14ac:dyDescent="0.25">
      <c r="A178" s="37" t="s">
        <v>225</v>
      </c>
      <c r="B178" s="1" t="s">
        <v>110</v>
      </c>
      <c r="C178" s="1" t="s">
        <v>168</v>
      </c>
      <c r="D178" s="1" t="s">
        <v>216</v>
      </c>
      <c r="G178" s="37">
        <v>1</v>
      </c>
      <c r="K178" s="37">
        <v>1</v>
      </c>
      <c r="O178" s="37">
        <v>1</v>
      </c>
    </row>
    <row r="179" spans="1:15" x14ac:dyDescent="0.25">
      <c r="A179" s="37" t="s">
        <v>226</v>
      </c>
      <c r="B179" s="1" t="s">
        <v>224</v>
      </c>
      <c r="C179" s="1" t="s">
        <v>168</v>
      </c>
      <c r="D179" s="1" t="s">
        <v>216</v>
      </c>
      <c r="F179" s="38" t="s">
        <v>225</v>
      </c>
    </row>
    <row r="180" spans="1:15" x14ac:dyDescent="0.25">
      <c r="A180" s="37" t="s">
        <v>217</v>
      </c>
      <c r="B180" s="1" t="s">
        <v>109</v>
      </c>
      <c r="C180" s="1" t="s">
        <v>168</v>
      </c>
      <c r="D180" s="1" t="s">
        <v>216</v>
      </c>
      <c r="F180" s="38" t="s">
        <v>226</v>
      </c>
      <c r="G180" s="37">
        <v>1</v>
      </c>
      <c r="K180" s="37">
        <v>1</v>
      </c>
      <c r="O180" s="37">
        <v>1</v>
      </c>
    </row>
    <row r="181" spans="1:15" x14ac:dyDescent="0.25">
      <c r="A181" s="37" t="s">
        <v>227</v>
      </c>
      <c r="B181" s="1" t="s">
        <v>215</v>
      </c>
      <c r="C181" s="1" t="s">
        <v>168</v>
      </c>
      <c r="D181" s="1" t="s">
        <v>216</v>
      </c>
      <c r="F181" s="38" t="s">
        <v>217</v>
      </c>
      <c r="G181" s="37">
        <v>2</v>
      </c>
      <c r="K181" s="37">
        <v>2</v>
      </c>
      <c r="O181" s="37">
        <v>2</v>
      </c>
    </row>
    <row r="182" spans="1:15" x14ac:dyDescent="0.25">
      <c r="A182" s="37" t="s">
        <v>218</v>
      </c>
      <c r="B182" s="1" t="s">
        <v>119</v>
      </c>
      <c r="C182" s="1" t="s">
        <v>168</v>
      </c>
      <c r="D182" s="1" t="s">
        <v>188</v>
      </c>
      <c r="F182" s="38" t="s">
        <v>227</v>
      </c>
      <c r="G182" s="37">
        <v>2</v>
      </c>
      <c r="K182" s="37">
        <v>2</v>
      </c>
      <c r="O182" s="37">
        <v>2</v>
      </c>
    </row>
    <row r="183" spans="1:15" x14ac:dyDescent="0.25">
      <c r="A183" s="37" t="s">
        <v>219</v>
      </c>
      <c r="B183" s="1" t="s">
        <v>120</v>
      </c>
      <c r="C183" s="1" t="s">
        <v>168</v>
      </c>
      <c r="D183" s="1" t="s">
        <v>188</v>
      </c>
      <c r="F183" s="38" t="s">
        <v>227</v>
      </c>
      <c r="G183" s="37">
        <v>3</v>
      </c>
      <c r="K183" s="37">
        <v>3</v>
      </c>
      <c r="O183" s="37">
        <v>3</v>
      </c>
    </row>
    <row r="184" spans="1:15" x14ac:dyDescent="0.25">
      <c r="A184" s="37" t="s">
        <v>220</v>
      </c>
      <c r="B184" s="1" t="s">
        <v>112</v>
      </c>
      <c r="C184" s="1" t="s">
        <v>168</v>
      </c>
      <c r="D184" s="1" t="s">
        <v>216</v>
      </c>
      <c r="F184" s="38" t="s">
        <v>227</v>
      </c>
      <c r="G184" s="37">
        <v>2</v>
      </c>
      <c r="K184" s="37">
        <v>2</v>
      </c>
      <c r="O184" s="37">
        <v>2</v>
      </c>
    </row>
    <row r="185" spans="1:15" x14ac:dyDescent="0.25">
      <c r="A185" s="37" t="s">
        <v>222</v>
      </c>
      <c r="B185" s="1" t="s">
        <v>111</v>
      </c>
      <c r="C185" s="1" t="s">
        <v>168</v>
      </c>
      <c r="D185" s="1" t="s">
        <v>216</v>
      </c>
      <c r="F185" s="38" t="s">
        <v>227</v>
      </c>
      <c r="G185" s="37">
        <v>2</v>
      </c>
      <c r="K185" s="37">
        <v>2</v>
      </c>
      <c r="O185" s="37">
        <v>2</v>
      </c>
    </row>
    <row r="186" spans="1:15" x14ac:dyDescent="0.25">
      <c r="A186" s="37" t="s">
        <v>221</v>
      </c>
      <c r="B186" s="1" t="s">
        <v>114</v>
      </c>
      <c r="C186" s="1" t="s">
        <v>168</v>
      </c>
      <c r="D186" s="1" t="s">
        <v>216</v>
      </c>
      <c r="F186" s="38" t="s">
        <v>222</v>
      </c>
      <c r="G186" s="37">
        <v>3</v>
      </c>
      <c r="K186" s="37">
        <v>3</v>
      </c>
      <c r="O186" s="37">
        <v>3</v>
      </c>
    </row>
    <row r="187" spans="1:15" x14ac:dyDescent="0.25">
      <c r="A187" s="37" t="s">
        <v>228</v>
      </c>
      <c r="B187" s="1" t="s">
        <v>113</v>
      </c>
      <c r="C187" s="1" t="s">
        <v>168</v>
      </c>
      <c r="D187" s="1" t="s">
        <v>216</v>
      </c>
      <c r="F187" s="38" t="s">
        <v>221</v>
      </c>
      <c r="G187" s="37">
        <v>3</v>
      </c>
      <c r="K187" s="37">
        <v>3</v>
      </c>
      <c r="O187" s="37">
        <v>3</v>
      </c>
    </row>
    <row r="188" spans="1:15" x14ac:dyDescent="0.25">
      <c r="A188" s="37" t="s">
        <v>223</v>
      </c>
      <c r="B188" s="1" t="s">
        <v>131</v>
      </c>
      <c r="C188" s="1" t="s">
        <v>168</v>
      </c>
      <c r="D188" s="1" t="s">
        <v>216</v>
      </c>
      <c r="F188" s="38" t="s">
        <v>228</v>
      </c>
      <c r="G188" s="37">
        <v>4</v>
      </c>
      <c r="K188" s="37">
        <v>4</v>
      </c>
      <c r="O188" s="37">
        <v>4</v>
      </c>
    </row>
    <row r="189" spans="1:15" x14ac:dyDescent="0.25">
      <c r="A189" s="37" t="s">
        <v>234</v>
      </c>
      <c r="B189" s="1" t="s">
        <v>235</v>
      </c>
      <c r="C189" s="1" t="s">
        <v>168</v>
      </c>
      <c r="F189" s="38" t="s">
        <v>228</v>
      </c>
      <c r="G189" s="37">
        <v>4</v>
      </c>
      <c r="K189" s="37">
        <v>4</v>
      </c>
      <c r="O189" s="37">
        <v>4</v>
      </c>
    </row>
    <row r="193" spans="1:15" x14ac:dyDescent="0.25">
      <c r="A193" s="39" t="s">
        <v>254</v>
      </c>
    </row>
    <row r="194" spans="1:15" x14ac:dyDescent="0.25">
      <c r="A194" s="39"/>
    </row>
    <row r="195" spans="1:15" x14ac:dyDescent="0.25">
      <c r="A195" s="37" t="s">
        <v>246</v>
      </c>
      <c r="B195" s="1" t="s">
        <v>245</v>
      </c>
      <c r="C195" s="1" t="s">
        <v>236</v>
      </c>
      <c r="D195" s="1" t="s">
        <v>237</v>
      </c>
      <c r="G195" s="37">
        <v>1</v>
      </c>
      <c r="K195" s="37">
        <v>1</v>
      </c>
      <c r="O195" s="37">
        <v>1</v>
      </c>
    </row>
    <row r="196" spans="1:15" x14ac:dyDescent="0.25">
      <c r="A196" s="37" t="s">
        <v>247</v>
      </c>
      <c r="B196" s="1" t="s">
        <v>244</v>
      </c>
      <c r="C196" s="1" t="s">
        <v>236</v>
      </c>
      <c r="D196" s="1" t="s">
        <v>237</v>
      </c>
      <c r="F196" s="38" t="s">
        <v>246</v>
      </c>
      <c r="G196" s="37">
        <v>2</v>
      </c>
      <c r="K196" s="37">
        <v>2</v>
      </c>
      <c r="O196" s="37">
        <v>2</v>
      </c>
    </row>
    <row r="197" spans="1:15" x14ac:dyDescent="0.25">
      <c r="A197" s="37" t="s">
        <v>238</v>
      </c>
      <c r="B197" s="1" t="s">
        <v>118</v>
      </c>
      <c r="C197" s="1" t="s">
        <v>236</v>
      </c>
      <c r="D197" s="1" t="s">
        <v>237</v>
      </c>
      <c r="F197" s="38" t="s">
        <v>247</v>
      </c>
      <c r="G197" s="37">
        <v>3</v>
      </c>
      <c r="K197" s="37">
        <v>3</v>
      </c>
      <c r="O197" s="37">
        <v>3</v>
      </c>
    </row>
    <row r="198" spans="1:15" x14ac:dyDescent="0.25">
      <c r="A198" s="37" t="s">
        <v>240</v>
      </c>
      <c r="B198" s="1" t="s">
        <v>239</v>
      </c>
      <c r="C198" s="1" t="s">
        <v>236</v>
      </c>
      <c r="D198" s="1" t="s">
        <v>237</v>
      </c>
      <c r="F198" s="38" t="s">
        <v>238</v>
      </c>
      <c r="G198" s="37">
        <v>3</v>
      </c>
      <c r="K198" s="37">
        <v>3</v>
      </c>
      <c r="O198" s="37">
        <v>3</v>
      </c>
    </row>
    <row r="199" spans="1:15" x14ac:dyDescent="0.25">
      <c r="A199" s="37" t="s">
        <v>241</v>
      </c>
      <c r="B199" s="1" t="s">
        <v>123</v>
      </c>
      <c r="C199" s="1" t="s">
        <v>236</v>
      </c>
      <c r="D199" s="1" t="s">
        <v>237</v>
      </c>
      <c r="F199" s="38" t="s">
        <v>238</v>
      </c>
      <c r="G199" s="37">
        <v>4</v>
      </c>
      <c r="K199" s="37">
        <v>4</v>
      </c>
      <c r="O199" s="37">
        <v>4</v>
      </c>
    </row>
    <row r="200" spans="1:15" x14ac:dyDescent="0.25">
      <c r="A200" s="37" t="s">
        <v>242</v>
      </c>
      <c r="B200" s="1" t="s">
        <v>124</v>
      </c>
      <c r="C200" s="1" t="s">
        <v>236</v>
      </c>
      <c r="D200" s="1" t="s">
        <v>237</v>
      </c>
      <c r="F200" s="38" t="s">
        <v>241</v>
      </c>
      <c r="G200" s="37">
        <v>4</v>
      </c>
      <c r="K200" s="37">
        <v>4</v>
      </c>
      <c r="O200" s="37">
        <v>4</v>
      </c>
    </row>
    <row r="201" spans="1:15" x14ac:dyDescent="0.25">
      <c r="A201" s="37" t="s">
        <v>243</v>
      </c>
      <c r="B201" s="1" t="s">
        <v>132</v>
      </c>
      <c r="C201" s="1" t="s">
        <v>236</v>
      </c>
      <c r="D201" s="1" t="s">
        <v>237</v>
      </c>
      <c r="F201" s="38" t="s">
        <v>242</v>
      </c>
      <c r="G201" s="37">
        <v>5</v>
      </c>
      <c r="K201" s="37">
        <v>5</v>
      </c>
      <c r="O201" s="37">
        <v>5</v>
      </c>
    </row>
    <row r="205" spans="1:15" x14ac:dyDescent="0.25">
      <c r="A205" s="39" t="s">
        <v>233</v>
      </c>
    </row>
    <row r="207" spans="1:15" x14ac:dyDescent="0.25">
      <c r="A207" s="37" t="s">
        <v>248</v>
      </c>
      <c r="B207" s="1" t="s">
        <v>115</v>
      </c>
      <c r="C207" s="1" t="s">
        <v>236</v>
      </c>
      <c r="G207" s="37">
        <v>0</v>
      </c>
      <c r="K207" s="37">
        <v>0</v>
      </c>
      <c r="O207" s="37">
        <v>0</v>
      </c>
    </row>
    <row r="208" spans="1:15" x14ac:dyDescent="0.25">
      <c r="A208" s="37" t="s">
        <v>236</v>
      </c>
      <c r="B208" s="1" t="s">
        <v>116</v>
      </c>
      <c r="C208" s="1" t="s">
        <v>236</v>
      </c>
      <c r="F208" s="38" t="s">
        <v>248</v>
      </c>
      <c r="G208" s="37">
        <v>1</v>
      </c>
      <c r="K208" s="37">
        <v>1</v>
      </c>
      <c r="O208" s="37">
        <v>1</v>
      </c>
    </row>
    <row r="209" spans="1:15" x14ac:dyDescent="0.25">
      <c r="A209" s="37" t="s">
        <v>260</v>
      </c>
      <c r="B209" s="1" t="s">
        <v>136</v>
      </c>
      <c r="C209" s="1" t="s">
        <v>236</v>
      </c>
      <c r="F209" s="38" t="s">
        <v>236</v>
      </c>
      <c r="G209" s="37">
        <v>1</v>
      </c>
      <c r="K209" s="37">
        <v>1</v>
      </c>
      <c r="O209" s="37">
        <v>1</v>
      </c>
    </row>
    <row r="211" spans="1:15" x14ac:dyDescent="0.25">
      <c r="A211" s="37" t="s">
        <v>253</v>
      </c>
      <c r="B211" s="1" t="s">
        <v>127</v>
      </c>
      <c r="C211" s="1" t="s">
        <v>236</v>
      </c>
      <c r="D211" s="1" t="s">
        <v>253</v>
      </c>
      <c r="F211" s="38" t="s">
        <v>236</v>
      </c>
      <c r="G211" s="37">
        <v>2</v>
      </c>
      <c r="K211" s="37">
        <v>2</v>
      </c>
      <c r="O211" s="37">
        <v>2</v>
      </c>
    </row>
    <row r="212" spans="1:15" x14ac:dyDescent="0.25">
      <c r="A212" s="37" t="s">
        <v>255</v>
      </c>
      <c r="B212" s="1" t="s">
        <v>128</v>
      </c>
      <c r="C212" s="1" t="s">
        <v>236</v>
      </c>
      <c r="D212" s="1" t="s">
        <v>253</v>
      </c>
      <c r="F212" s="38" t="s">
        <v>253</v>
      </c>
      <c r="G212" s="37">
        <v>3</v>
      </c>
      <c r="K212" s="37">
        <v>3</v>
      </c>
      <c r="O212" s="37">
        <v>3</v>
      </c>
    </row>
    <row r="213" spans="1:15" x14ac:dyDescent="0.25">
      <c r="A213" s="37" t="s">
        <v>256</v>
      </c>
      <c r="B213" s="1" t="s">
        <v>129</v>
      </c>
      <c r="C213" s="1" t="s">
        <v>236</v>
      </c>
      <c r="D213" s="1" t="s">
        <v>253</v>
      </c>
      <c r="F213" s="38" t="s">
        <v>255</v>
      </c>
      <c r="G213" s="37">
        <v>4</v>
      </c>
      <c r="K213" s="37">
        <v>4</v>
      </c>
      <c r="O213" s="37">
        <v>4</v>
      </c>
    </row>
    <row r="214" spans="1:15" x14ac:dyDescent="0.25">
      <c r="A214" s="37" t="s">
        <v>257</v>
      </c>
      <c r="B214" s="1" t="s">
        <v>130</v>
      </c>
      <c r="C214" s="1" t="s">
        <v>236</v>
      </c>
      <c r="D214" s="1" t="s">
        <v>253</v>
      </c>
      <c r="F214" s="38" t="s">
        <v>256</v>
      </c>
      <c r="G214" s="37">
        <v>5</v>
      </c>
      <c r="K214" s="37">
        <v>5</v>
      </c>
      <c r="O214" s="37">
        <v>5</v>
      </c>
    </row>
    <row r="216" spans="1:15" x14ac:dyDescent="0.25">
      <c r="A216" s="37" t="s">
        <v>249</v>
      </c>
      <c r="B216" s="1" t="s">
        <v>125</v>
      </c>
      <c r="C216" s="1" t="s">
        <v>236</v>
      </c>
      <c r="D216" s="1" t="s">
        <v>252</v>
      </c>
      <c r="F216" s="38" t="s">
        <v>253</v>
      </c>
      <c r="G216" s="37">
        <v>2</v>
      </c>
      <c r="K216" s="37">
        <v>2</v>
      </c>
      <c r="O216" s="37">
        <v>2</v>
      </c>
    </row>
    <row r="217" spans="1:15" x14ac:dyDescent="0.25">
      <c r="A217" s="37" t="s">
        <v>251</v>
      </c>
      <c r="B217" s="1" t="s">
        <v>250</v>
      </c>
      <c r="C217" s="1" t="s">
        <v>236</v>
      </c>
      <c r="D217" s="1" t="s">
        <v>252</v>
      </c>
      <c r="F217" s="38" t="s">
        <v>255</v>
      </c>
      <c r="G217" s="37">
        <v>4</v>
      </c>
      <c r="K217" s="37">
        <v>4</v>
      </c>
      <c r="O217" s="37">
        <v>4</v>
      </c>
    </row>
    <row r="219" spans="1:15" x14ac:dyDescent="0.25">
      <c r="B219" s="1" t="s">
        <v>334</v>
      </c>
    </row>
    <row r="226" spans="1:15" x14ac:dyDescent="0.25">
      <c r="A226" s="39" t="s">
        <v>259</v>
      </c>
    </row>
    <row r="228" spans="1:15" x14ac:dyDescent="0.25">
      <c r="A228" s="37" t="s">
        <v>261</v>
      </c>
      <c r="B228" s="1" t="s">
        <v>214</v>
      </c>
      <c r="C228" s="1" t="s">
        <v>236</v>
      </c>
      <c r="D228" s="1" t="s">
        <v>264</v>
      </c>
      <c r="F228" s="38" t="s">
        <v>260</v>
      </c>
      <c r="G228" s="37">
        <v>2</v>
      </c>
      <c r="K228" s="37">
        <v>2</v>
      </c>
      <c r="O228" s="37">
        <v>2</v>
      </c>
    </row>
    <row r="229" spans="1:15" x14ac:dyDescent="0.25">
      <c r="A229" s="37" t="s">
        <v>262</v>
      </c>
      <c r="B229" s="1" t="s">
        <v>137</v>
      </c>
      <c r="C229" s="1" t="s">
        <v>236</v>
      </c>
      <c r="D229" s="1" t="s">
        <v>264</v>
      </c>
      <c r="F229" s="38" t="s">
        <v>261</v>
      </c>
      <c r="G229" s="37">
        <v>3</v>
      </c>
      <c r="K229" s="37">
        <v>3</v>
      </c>
      <c r="O229" s="37">
        <v>3</v>
      </c>
    </row>
    <row r="230" spans="1:15" x14ac:dyDescent="0.25">
      <c r="A230" s="37" t="s">
        <v>263</v>
      </c>
      <c r="B230" s="1" t="s">
        <v>138</v>
      </c>
      <c r="C230" s="1" t="s">
        <v>236</v>
      </c>
      <c r="D230" s="1" t="s">
        <v>264</v>
      </c>
      <c r="F230" s="38" t="s">
        <v>262</v>
      </c>
      <c r="G230" s="37">
        <v>4</v>
      </c>
      <c r="K230" s="37">
        <v>4</v>
      </c>
      <c r="O230" s="37">
        <v>4</v>
      </c>
    </row>
    <row r="233" spans="1:15" x14ac:dyDescent="0.25">
      <c r="A233" s="37" t="s">
        <v>268</v>
      </c>
      <c r="B233" s="1" t="s">
        <v>267</v>
      </c>
      <c r="C233" s="1" t="s">
        <v>264</v>
      </c>
      <c r="D233" s="1" t="s">
        <v>187</v>
      </c>
      <c r="F233" s="38" t="s">
        <v>261</v>
      </c>
      <c r="G233" s="37">
        <v>2</v>
      </c>
      <c r="K233" s="37">
        <v>2</v>
      </c>
      <c r="O233" s="37">
        <v>2</v>
      </c>
    </row>
    <row r="234" spans="1:15" x14ac:dyDescent="0.25">
      <c r="A234" s="37" t="s">
        <v>266</v>
      </c>
      <c r="B234" s="1" t="s">
        <v>265</v>
      </c>
      <c r="C234" s="1" t="s">
        <v>264</v>
      </c>
      <c r="D234" s="1" t="s">
        <v>187</v>
      </c>
      <c r="F234" s="38" t="s">
        <v>261</v>
      </c>
      <c r="G234" s="37">
        <v>2</v>
      </c>
      <c r="K234" s="37">
        <v>2</v>
      </c>
      <c r="O234" s="37">
        <v>2</v>
      </c>
    </row>
    <row r="236" spans="1:15" x14ac:dyDescent="0.25">
      <c r="A236" s="37" t="s">
        <v>270</v>
      </c>
      <c r="B236" s="1" t="s">
        <v>283</v>
      </c>
      <c r="C236" s="1" t="s">
        <v>264</v>
      </c>
      <c r="D236" s="1" t="s">
        <v>216</v>
      </c>
      <c r="F236" s="38" t="s">
        <v>262</v>
      </c>
      <c r="G236" s="37">
        <v>3</v>
      </c>
      <c r="K236" s="37">
        <v>3</v>
      </c>
      <c r="O236" s="37">
        <v>3</v>
      </c>
    </row>
    <row r="237" spans="1:15" x14ac:dyDescent="0.25">
      <c r="A237" s="37" t="s">
        <v>271</v>
      </c>
      <c r="B237" s="1" t="s">
        <v>284</v>
      </c>
      <c r="C237" s="1" t="s">
        <v>264</v>
      </c>
      <c r="D237" s="1" t="s">
        <v>187</v>
      </c>
      <c r="F237" s="38" t="s">
        <v>262</v>
      </c>
      <c r="G237" s="37">
        <v>3</v>
      </c>
      <c r="K237" s="37">
        <v>3</v>
      </c>
      <c r="O237" s="37">
        <v>3</v>
      </c>
    </row>
    <row r="238" spans="1:15" x14ac:dyDescent="0.25">
      <c r="A238" s="37" t="s">
        <v>272</v>
      </c>
      <c r="B238" s="1" t="s">
        <v>285</v>
      </c>
      <c r="C238" s="1" t="s">
        <v>264</v>
      </c>
      <c r="D238" s="1" t="s">
        <v>187</v>
      </c>
      <c r="F238" s="38" t="s">
        <v>262</v>
      </c>
      <c r="G238" s="37">
        <v>3</v>
      </c>
      <c r="K238" s="37">
        <v>3</v>
      </c>
      <c r="O238" s="37">
        <v>3</v>
      </c>
    </row>
    <row r="239" spans="1:15" x14ac:dyDescent="0.25">
      <c r="A239" s="37" t="s">
        <v>273</v>
      </c>
      <c r="B239" s="1" t="s">
        <v>286</v>
      </c>
      <c r="C239" s="1" t="s">
        <v>264</v>
      </c>
      <c r="D239" s="1" t="s">
        <v>187</v>
      </c>
      <c r="F239" s="38" t="s">
        <v>262</v>
      </c>
      <c r="G239" s="37">
        <v>3</v>
      </c>
      <c r="K239" s="37">
        <v>3</v>
      </c>
      <c r="O239" s="37">
        <v>3</v>
      </c>
    </row>
    <row r="240" spans="1:15" x14ac:dyDescent="0.25">
      <c r="A240" s="37" t="s">
        <v>274</v>
      </c>
      <c r="B240" s="1" t="s">
        <v>287</v>
      </c>
      <c r="C240" s="1" t="s">
        <v>264</v>
      </c>
      <c r="D240" s="1" t="s">
        <v>269</v>
      </c>
      <c r="F240" s="38" t="s">
        <v>262</v>
      </c>
      <c r="G240" s="37">
        <v>3</v>
      </c>
      <c r="K240" s="37">
        <v>3</v>
      </c>
      <c r="O240" s="37">
        <v>3</v>
      </c>
    </row>
    <row r="242" spans="1:15" x14ac:dyDescent="0.25">
      <c r="A242" s="37" t="s">
        <v>275</v>
      </c>
      <c r="B242" s="1" t="s">
        <v>288</v>
      </c>
      <c r="C242" s="1" t="s">
        <v>264</v>
      </c>
      <c r="D242" s="1" t="s">
        <v>216</v>
      </c>
      <c r="F242" s="38" t="s">
        <v>263</v>
      </c>
      <c r="G242" s="37">
        <v>4</v>
      </c>
      <c r="K242" s="37">
        <v>4</v>
      </c>
      <c r="O242" s="37">
        <v>4</v>
      </c>
    </row>
    <row r="243" spans="1:15" x14ac:dyDescent="0.25">
      <c r="A243" s="37" t="s">
        <v>276</v>
      </c>
      <c r="B243" s="1" t="s">
        <v>289</v>
      </c>
      <c r="C243" s="1" t="s">
        <v>264</v>
      </c>
      <c r="D243" s="1" t="s">
        <v>187</v>
      </c>
      <c r="F243" s="38" t="s">
        <v>263</v>
      </c>
      <c r="G243" s="37">
        <v>4</v>
      </c>
      <c r="K243" s="37">
        <v>4</v>
      </c>
      <c r="O243" s="37">
        <v>4</v>
      </c>
    </row>
    <row r="244" spans="1:15" x14ac:dyDescent="0.25">
      <c r="A244" s="37" t="s">
        <v>277</v>
      </c>
      <c r="B244" s="1" t="s">
        <v>290</v>
      </c>
      <c r="C244" s="1" t="s">
        <v>264</v>
      </c>
      <c r="D244" s="1" t="s">
        <v>187</v>
      </c>
      <c r="F244" s="38" t="s">
        <v>263</v>
      </c>
      <c r="G244" s="37">
        <v>4</v>
      </c>
      <c r="K244" s="37">
        <v>4</v>
      </c>
      <c r="O244" s="37">
        <v>4</v>
      </c>
    </row>
    <row r="245" spans="1:15" x14ac:dyDescent="0.25">
      <c r="A245" s="37" t="s">
        <v>278</v>
      </c>
      <c r="B245" s="1" t="s">
        <v>291</v>
      </c>
      <c r="C245" s="1" t="s">
        <v>264</v>
      </c>
      <c r="D245" s="1" t="s">
        <v>187</v>
      </c>
      <c r="F245" s="38" t="s">
        <v>263</v>
      </c>
      <c r="G245" s="37">
        <v>4</v>
      </c>
      <c r="K245" s="37">
        <v>4</v>
      </c>
      <c r="O245" s="37">
        <v>4</v>
      </c>
    </row>
    <row r="246" spans="1:15" x14ac:dyDescent="0.25">
      <c r="A246" s="37" t="s">
        <v>279</v>
      </c>
      <c r="B246" s="1" t="s">
        <v>292</v>
      </c>
      <c r="C246" s="1" t="s">
        <v>264</v>
      </c>
      <c r="D246" s="1" t="s">
        <v>187</v>
      </c>
      <c r="F246" s="38" t="s">
        <v>263</v>
      </c>
      <c r="G246" s="37">
        <v>4</v>
      </c>
      <c r="K246" s="37">
        <v>4</v>
      </c>
      <c r="O246" s="37">
        <v>4</v>
      </c>
    </row>
    <row r="247" spans="1:15" x14ac:dyDescent="0.25">
      <c r="A247" s="37" t="s">
        <v>280</v>
      </c>
      <c r="B247" s="1" t="s">
        <v>293</v>
      </c>
      <c r="C247" s="1" t="s">
        <v>264</v>
      </c>
      <c r="D247" s="1" t="s">
        <v>269</v>
      </c>
      <c r="F247" s="38" t="s">
        <v>263</v>
      </c>
      <c r="G247" s="37">
        <v>4</v>
      </c>
      <c r="K247" s="37">
        <v>4</v>
      </c>
      <c r="O247" s="37">
        <v>4</v>
      </c>
    </row>
    <row r="248" spans="1:15" x14ac:dyDescent="0.25">
      <c r="A248" s="37" t="s">
        <v>281</v>
      </c>
      <c r="B248" s="1" t="s">
        <v>139</v>
      </c>
      <c r="C248" s="1" t="s">
        <v>264</v>
      </c>
      <c r="D248" s="1" t="s">
        <v>269</v>
      </c>
      <c r="F248" s="38" t="s">
        <v>279</v>
      </c>
      <c r="G248" s="37">
        <v>4</v>
      </c>
      <c r="K248" s="37">
        <v>4</v>
      </c>
      <c r="O248" s="37">
        <v>4</v>
      </c>
    </row>
    <row r="252" spans="1:15" x14ac:dyDescent="0.25">
      <c r="A252" s="39" t="s">
        <v>282</v>
      </c>
    </row>
    <row r="254" spans="1:15" x14ac:dyDescent="0.25">
      <c r="A254" s="37" t="s">
        <v>294</v>
      </c>
      <c r="B254" s="1" t="s">
        <v>134</v>
      </c>
      <c r="C254" s="1" t="s">
        <v>297</v>
      </c>
      <c r="G254" s="37">
        <v>2</v>
      </c>
      <c r="K254" s="37">
        <v>2</v>
      </c>
      <c r="O254" s="37">
        <v>2</v>
      </c>
    </row>
    <row r="255" spans="1:15" x14ac:dyDescent="0.25">
      <c r="A255" s="37" t="s">
        <v>295</v>
      </c>
      <c r="B255" s="1" t="s">
        <v>258</v>
      </c>
      <c r="C255" s="1" t="s">
        <v>297</v>
      </c>
      <c r="F255" s="38" t="s">
        <v>294</v>
      </c>
      <c r="G255" s="37">
        <v>3</v>
      </c>
      <c r="K255" s="37">
        <v>3</v>
      </c>
      <c r="O255" s="37">
        <v>3</v>
      </c>
    </row>
    <row r="256" spans="1:15" x14ac:dyDescent="0.25">
      <c r="A256" s="37" t="s">
        <v>296</v>
      </c>
      <c r="B256" s="1" t="s">
        <v>135</v>
      </c>
      <c r="C256" s="1" t="s">
        <v>297</v>
      </c>
      <c r="F256" s="38" t="s">
        <v>295</v>
      </c>
      <c r="G256" s="37">
        <v>4</v>
      </c>
      <c r="K256" s="37">
        <v>4</v>
      </c>
      <c r="O256" s="37">
        <v>4</v>
      </c>
    </row>
    <row r="260" spans="1:4" x14ac:dyDescent="0.25">
      <c r="A260" s="37" t="s">
        <v>190</v>
      </c>
    </row>
    <row r="263" spans="1:4" x14ac:dyDescent="0.25">
      <c r="A263" s="37" t="s">
        <v>510</v>
      </c>
    </row>
    <row r="264" spans="1:4" x14ac:dyDescent="0.25">
      <c r="B264" s="1" t="s">
        <v>781</v>
      </c>
    </row>
    <row r="265" spans="1:4" x14ac:dyDescent="0.25">
      <c r="B265" s="1" t="s">
        <v>782</v>
      </c>
    </row>
    <row r="267" spans="1:4" x14ac:dyDescent="0.25">
      <c r="B267" s="1" t="s">
        <v>335</v>
      </c>
    </row>
    <row r="268" spans="1:4" x14ac:dyDescent="0.25">
      <c r="B268" s="1" t="s">
        <v>336</v>
      </c>
    </row>
    <row r="269" spans="1:4" x14ac:dyDescent="0.25">
      <c r="B269" s="1" t="s">
        <v>337</v>
      </c>
    </row>
    <row r="270" spans="1:4" x14ac:dyDescent="0.25">
      <c r="B270" s="1" t="s">
        <v>338</v>
      </c>
    </row>
    <row r="271" spans="1:4" x14ac:dyDescent="0.25">
      <c r="B271" s="1" t="s">
        <v>339</v>
      </c>
    </row>
    <row r="272" spans="1:4" x14ac:dyDescent="0.25">
      <c r="D272" s="1" t="s">
        <v>48</v>
      </c>
    </row>
    <row r="273" spans="2:4" x14ac:dyDescent="0.25">
      <c r="B273" s="1" t="s">
        <v>365</v>
      </c>
      <c r="D273" s="1" t="s">
        <v>52</v>
      </c>
    </row>
    <row r="274" spans="2:4" x14ac:dyDescent="0.25">
      <c r="B274" s="1" t="s">
        <v>364</v>
      </c>
      <c r="D274" s="1" t="s">
        <v>53</v>
      </c>
    </row>
    <row r="275" spans="2:4" x14ac:dyDescent="0.25">
      <c r="D275" s="1" t="s">
        <v>54</v>
      </c>
    </row>
    <row r="277" spans="2:4" x14ac:dyDescent="0.25">
      <c r="D277" s="1" t="s">
        <v>55</v>
      </c>
    </row>
    <row r="278" spans="2:4" x14ac:dyDescent="0.25">
      <c r="B278" s="1" t="s">
        <v>340</v>
      </c>
      <c r="D278" s="1" t="s">
        <v>56</v>
      </c>
    </row>
    <row r="279" spans="2:4" x14ac:dyDescent="0.25">
      <c r="B279" s="1" t="s">
        <v>342</v>
      </c>
      <c r="D279" s="1" t="s">
        <v>57</v>
      </c>
    </row>
    <row r="280" spans="2:4" x14ac:dyDescent="0.25">
      <c r="B280" s="1" t="s">
        <v>341</v>
      </c>
      <c r="D280" s="1" t="s">
        <v>58</v>
      </c>
    </row>
    <row r="281" spans="2:4" x14ac:dyDescent="0.25">
      <c r="D281" s="1" t="s">
        <v>59</v>
      </c>
    </row>
    <row r="282" spans="2:4" x14ac:dyDescent="0.25">
      <c r="B282" s="1" t="s">
        <v>343</v>
      </c>
    </row>
    <row r="283" spans="2:4" x14ac:dyDescent="0.25">
      <c r="B283" s="1" t="s">
        <v>344</v>
      </c>
    </row>
    <row r="284" spans="2:4" x14ac:dyDescent="0.25">
      <c r="D284" s="1" t="s">
        <v>68</v>
      </c>
    </row>
    <row r="285" spans="2:4" x14ac:dyDescent="0.25">
      <c r="D285" s="1" t="s">
        <v>69</v>
      </c>
    </row>
    <row r="286" spans="2:4" x14ac:dyDescent="0.25">
      <c r="D286" s="1" t="s">
        <v>70</v>
      </c>
    </row>
    <row r="287" spans="2:4" x14ac:dyDescent="0.25">
      <c r="B287" s="1" t="s">
        <v>346</v>
      </c>
      <c r="D287" s="1" t="s">
        <v>71</v>
      </c>
    </row>
    <row r="288" spans="2:4" x14ac:dyDescent="0.25">
      <c r="D288" s="1" t="s">
        <v>72</v>
      </c>
    </row>
    <row r="290" spans="2:4" x14ac:dyDescent="0.25">
      <c r="B290" s="1" t="s">
        <v>347</v>
      </c>
      <c r="D290" s="1" t="s">
        <v>73</v>
      </c>
    </row>
    <row r="291" spans="2:4" x14ac:dyDescent="0.25">
      <c r="B291" s="1" t="s">
        <v>349</v>
      </c>
      <c r="D291" s="1" t="s">
        <v>74</v>
      </c>
    </row>
    <row r="292" spans="2:4" x14ac:dyDescent="0.25">
      <c r="B292" s="1" t="s">
        <v>348</v>
      </c>
      <c r="D292" s="1" t="s">
        <v>77</v>
      </c>
    </row>
    <row r="293" spans="2:4" x14ac:dyDescent="0.25">
      <c r="D293" s="1" t="s">
        <v>76</v>
      </c>
    </row>
    <row r="294" spans="2:4" x14ac:dyDescent="0.25">
      <c r="B294" s="1" t="s">
        <v>351</v>
      </c>
      <c r="D294" s="1" t="s">
        <v>75</v>
      </c>
    </row>
    <row r="295" spans="2:4" x14ac:dyDescent="0.25">
      <c r="B295" s="1" t="s">
        <v>350</v>
      </c>
    </row>
    <row r="296" spans="2:4" x14ac:dyDescent="0.25">
      <c r="D296" s="1" t="s">
        <v>80</v>
      </c>
    </row>
    <row r="297" spans="2:4" x14ac:dyDescent="0.25">
      <c r="B297" s="1" t="s">
        <v>352</v>
      </c>
      <c r="D297" s="1" t="s">
        <v>81</v>
      </c>
    </row>
    <row r="298" spans="2:4" x14ac:dyDescent="0.25">
      <c r="D298" s="1" t="s">
        <v>82</v>
      </c>
    </row>
    <row r="299" spans="2:4" x14ac:dyDescent="0.25">
      <c r="D299" s="1" t="s">
        <v>85</v>
      </c>
    </row>
    <row r="300" spans="2:4" x14ac:dyDescent="0.25">
      <c r="D300" s="1" t="s">
        <v>503</v>
      </c>
    </row>
    <row r="301" spans="2:4" x14ac:dyDescent="0.25">
      <c r="B301" s="1" t="s">
        <v>356</v>
      </c>
      <c r="D301" s="1" t="s">
        <v>84</v>
      </c>
    </row>
    <row r="302" spans="2:4" x14ac:dyDescent="0.25">
      <c r="B302" s="1" t="s">
        <v>357</v>
      </c>
      <c r="D302" s="1" t="s">
        <v>83</v>
      </c>
    </row>
    <row r="303" spans="2:4" x14ac:dyDescent="0.25">
      <c r="B303" s="1" t="s">
        <v>358</v>
      </c>
    </row>
    <row r="304" spans="2:4" x14ac:dyDescent="0.25">
      <c r="D304" s="1" t="s">
        <v>86</v>
      </c>
    </row>
    <row r="305" spans="2:4" x14ac:dyDescent="0.25">
      <c r="D305" s="1" t="s">
        <v>87</v>
      </c>
    </row>
    <row r="306" spans="2:4" x14ac:dyDescent="0.25">
      <c r="B306" s="1" t="s">
        <v>353</v>
      </c>
      <c r="D306" s="1" t="s">
        <v>89</v>
      </c>
    </row>
    <row r="307" spans="2:4" x14ac:dyDescent="0.25">
      <c r="B307" s="1" t="s">
        <v>354</v>
      </c>
      <c r="D307" s="1" t="s">
        <v>88</v>
      </c>
    </row>
    <row r="308" spans="2:4" x14ac:dyDescent="0.25">
      <c r="B308" s="1" t="s">
        <v>355</v>
      </c>
      <c r="D308" s="1" t="s">
        <v>90</v>
      </c>
    </row>
    <row r="310" spans="2:4" x14ac:dyDescent="0.25">
      <c r="D310" s="1" t="s">
        <v>94</v>
      </c>
    </row>
    <row r="311" spans="2:4" x14ac:dyDescent="0.25">
      <c r="D311" s="1" t="s">
        <v>95</v>
      </c>
    </row>
    <row r="312" spans="2:4" x14ac:dyDescent="0.25">
      <c r="B312" s="1" t="s">
        <v>360</v>
      </c>
      <c r="D312" s="1" t="s">
        <v>96</v>
      </c>
    </row>
    <row r="313" spans="2:4" x14ac:dyDescent="0.25">
      <c r="B313" s="1" t="s">
        <v>361</v>
      </c>
      <c r="D313" s="1" t="s">
        <v>97</v>
      </c>
    </row>
    <row r="314" spans="2:4" x14ac:dyDescent="0.25">
      <c r="B314" s="1" t="s">
        <v>359</v>
      </c>
      <c r="D314" s="1" t="s">
        <v>98</v>
      </c>
    </row>
    <row r="315" spans="2:4" x14ac:dyDescent="0.25">
      <c r="B315" s="1" t="s">
        <v>362</v>
      </c>
      <c r="D315" s="1" t="s">
        <v>99</v>
      </c>
    </row>
    <row r="316" spans="2:4" x14ac:dyDescent="0.25">
      <c r="D316" s="1" t="s">
        <v>101</v>
      </c>
    </row>
    <row r="317" spans="2:4" x14ac:dyDescent="0.25">
      <c r="B317" s="1" t="s">
        <v>363</v>
      </c>
      <c r="D317" s="1" t="s">
        <v>100</v>
      </c>
    </row>
    <row r="318" spans="2:4" x14ac:dyDescent="0.25">
      <c r="B318" s="1" t="s">
        <v>366</v>
      </c>
      <c r="D318" s="1" t="s">
        <v>92</v>
      </c>
    </row>
    <row r="319" spans="2:4" x14ac:dyDescent="0.25">
      <c r="B319" s="1" t="s">
        <v>367</v>
      </c>
      <c r="D319" s="1" t="s">
        <v>91</v>
      </c>
    </row>
    <row r="320" spans="2:4" x14ac:dyDescent="0.25">
      <c r="D320" s="1" t="s">
        <v>93</v>
      </c>
    </row>
    <row r="321" spans="2:4" x14ac:dyDescent="0.25">
      <c r="D321" s="1" t="s">
        <v>103</v>
      </c>
    </row>
    <row r="322" spans="2:4" x14ac:dyDescent="0.25">
      <c r="D322" s="1" t="s">
        <v>102</v>
      </c>
    </row>
    <row r="325" spans="2:4" x14ac:dyDescent="0.25">
      <c r="B325" s="1" t="s">
        <v>731</v>
      </c>
    </row>
    <row r="326" spans="2:4" x14ac:dyDescent="0.25">
      <c r="B326" s="1" t="s">
        <v>370</v>
      </c>
    </row>
    <row r="327" spans="2:4" x14ac:dyDescent="0.25">
      <c r="B327" s="1" t="s">
        <v>368</v>
      </c>
    </row>
    <row r="328" spans="2:4" x14ac:dyDescent="0.25">
      <c r="B328" s="1" t="s">
        <v>369</v>
      </c>
    </row>
    <row r="331" spans="2:4" x14ac:dyDescent="0.25">
      <c r="B331" s="1" t="s">
        <v>371</v>
      </c>
    </row>
    <row r="332" spans="2:4" x14ac:dyDescent="0.25">
      <c r="B332" s="1" t="s">
        <v>372</v>
      </c>
    </row>
    <row r="335" spans="2:4" x14ac:dyDescent="0.25">
      <c r="B335" s="1" t="s">
        <v>373</v>
      </c>
    </row>
    <row r="338" spans="2:3" x14ac:dyDescent="0.25">
      <c r="B338" s="1" t="s">
        <v>374</v>
      </c>
    </row>
    <row r="339" spans="2:3" x14ac:dyDescent="0.25">
      <c r="B339" s="1" t="s">
        <v>375</v>
      </c>
    </row>
    <row r="342" spans="2:3" x14ac:dyDescent="0.25">
      <c r="B342" s="1" t="s">
        <v>377</v>
      </c>
    </row>
    <row r="343" spans="2:3" x14ac:dyDescent="0.25">
      <c r="B343" s="1" t="s">
        <v>376</v>
      </c>
    </row>
    <row r="344" spans="2:3" x14ac:dyDescent="0.25">
      <c r="B344" s="1" t="s">
        <v>378</v>
      </c>
    </row>
    <row r="345" spans="2:3" x14ac:dyDescent="0.25">
      <c r="B345" s="1" t="s">
        <v>379</v>
      </c>
    </row>
    <row r="346" spans="2:3" x14ac:dyDescent="0.25">
      <c r="B346" s="1" t="s">
        <v>380</v>
      </c>
    </row>
    <row r="352" spans="2:3" x14ac:dyDescent="0.25">
      <c r="B352" s="1" t="s">
        <v>413</v>
      </c>
      <c r="C352" s="1" t="s">
        <v>420</v>
      </c>
    </row>
    <row r="353" spans="2:3" x14ac:dyDescent="0.25">
      <c r="B353" s="1" t="s">
        <v>414</v>
      </c>
      <c r="C353" s="1" t="s">
        <v>420</v>
      </c>
    </row>
    <row r="354" spans="2:3" x14ac:dyDescent="0.25">
      <c r="B354" s="1" t="s">
        <v>415</v>
      </c>
      <c r="C354" s="1" t="s">
        <v>420</v>
      </c>
    </row>
    <row r="355" spans="2:3" x14ac:dyDescent="0.25">
      <c r="B355" s="1" t="s">
        <v>416</v>
      </c>
      <c r="C355" s="1" t="s">
        <v>420</v>
      </c>
    </row>
    <row r="356" spans="2:3" x14ac:dyDescent="0.25">
      <c r="B356" s="1" t="s">
        <v>412</v>
      </c>
      <c r="C356" s="1" t="s">
        <v>420</v>
      </c>
    </row>
    <row r="358" spans="2:3" x14ac:dyDescent="0.25">
      <c r="B358" s="1" t="s">
        <v>417</v>
      </c>
      <c r="C358" s="1" t="s">
        <v>420</v>
      </c>
    </row>
    <row r="359" spans="2:3" x14ac:dyDescent="0.25">
      <c r="B359" s="1" t="s">
        <v>418</v>
      </c>
      <c r="C359" s="1" t="s">
        <v>420</v>
      </c>
    </row>
    <row r="360" spans="2:3" x14ac:dyDescent="0.25">
      <c r="B360" s="1" t="s">
        <v>419</v>
      </c>
      <c r="C360" s="1" t="s">
        <v>420</v>
      </c>
    </row>
    <row r="366" spans="2:3" x14ac:dyDescent="0.25">
      <c r="B366" s="1" t="s">
        <v>421</v>
      </c>
    </row>
    <row r="367" spans="2:3" x14ac:dyDescent="0.25">
      <c r="B367" s="1" t="s">
        <v>422</v>
      </c>
    </row>
    <row r="371" spans="2:3" x14ac:dyDescent="0.25">
      <c r="C371" s="1" t="s">
        <v>423</v>
      </c>
    </row>
    <row r="372" spans="2:3" x14ac:dyDescent="0.25">
      <c r="B372" s="1" t="s">
        <v>424</v>
      </c>
      <c r="C372" s="1" t="s">
        <v>429</v>
      </c>
    </row>
    <row r="373" spans="2:3" x14ac:dyDescent="0.25">
      <c r="B373" s="1" t="s">
        <v>425</v>
      </c>
      <c r="C373" s="1" t="s">
        <v>426</v>
      </c>
    </row>
    <row r="374" spans="2:3" x14ac:dyDescent="0.25">
      <c r="B374" s="1" t="s">
        <v>427</v>
      </c>
      <c r="C374" s="1" t="s">
        <v>428</v>
      </c>
    </row>
    <row r="375" spans="2:3" x14ac:dyDescent="0.25">
      <c r="B375" s="1" t="s">
        <v>435</v>
      </c>
      <c r="C375" s="1" t="s">
        <v>437</v>
      </c>
    </row>
    <row r="376" spans="2:3" x14ac:dyDescent="0.25">
      <c r="B376" s="1" t="s">
        <v>436</v>
      </c>
      <c r="C376" s="1" t="s">
        <v>437</v>
      </c>
    </row>
    <row r="378" spans="2:3" x14ac:dyDescent="0.25">
      <c r="B378" s="1" t="s">
        <v>430</v>
      </c>
    </row>
    <row r="379" spans="2:3" x14ac:dyDescent="0.25">
      <c r="B379" s="1" t="s">
        <v>431</v>
      </c>
    </row>
    <row r="380" spans="2:3" x14ac:dyDescent="0.25">
      <c r="B380" s="1" t="s">
        <v>432</v>
      </c>
    </row>
    <row r="381" spans="2:3" x14ac:dyDescent="0.25">
      <c r="B381" s="1" t="s">
        <v>433</v>
      </c>
    </row>
    <row r="382" spans="2:3" x14ac:dyDescent="0.25">
      <c r="B382" s="1" t="s">
        <v>434</v>
      </c>
    </row>
    <row r="386" spans="2:3" x14ac:dyDescent="0.25">
      <c r="B386" s="1" t="s">
        <v>438</v>
      </c>
    </row>
    <row r="387" spans="2:3" x14ac:dyDescent="0.25">
      <c r="B387" s="1" t="s">
        <v>439</v>
      </c>
      <c r="C387" s="1" t="s">
        <v>441</v>
      </c>
    </row>
    <row r="388" spans="2:3" x14ac:dyDescent="0.25">
      <c r="B388" s="1" t="s">
        <v>440</v>
      </c>
      <c r="C388" s="1" t="s">
        <v>442</v>
      </c>
    </row>
    <row r="391" spans="2:3" x14ac:dyDescent="0.25">
      <c r="B391" s="1" t="s">
        <v>443</v>
      </c>
    </row>
    <row r="393" spans="2:3" x14ac:dyDescent="0.25">
      <c r="B393" s="1" t="s">
        <v>445</v>
      </c>
    </row>
    <row r="394" spans="2:3" x14ac:dyDescent="0.25">
      <c r="B394" s="1" t="s">
        <v>446</v>
      </c>
    </row>
    <row r="395" spans="2:3" x14ac:dyDescent="0.25">
      <c r="B395" s="1" t="s">
        <v>444</v>
      </c>
    </row>
    <row r="397" spans="2:3" x14ac:dyDescent="0.25">
      <c r="B397" s="1" t="s">
        <v>447</v>
      </c>
    </row>
    <row r="400" spans="2:3" x14ac:dyDescent="0.25">
      <c r="B400" s="1" t="s">
        <v>448</v>
      </c>
    </row>
    <row r="401" spans="2:2" x14ac:dyDescent="0.25">
      <c r="B401" s="1" t="s">
        <v>449</v>
      </c>
    </row>
    <row r="402" spans="2:2" x14ac:dyDescent="0.25">
      <c r="B402" s="1" t="s">
        <v>450</v>
      </c>
    </row>
    <row r="403" spans="2:2" x14ac:dyDescent="0.25">
      <c r="B403" s="1" t="s">
        <v>452</v>
      </c>
    </row>
    <row r="404" spans="2:2" x14ac:dyDescent="0.25">
      <c r="B404" s="1" t="s">
        <v>451</v>
      </c>
    </row>
    <row r="405" spans="2:2" x14ac:dyDescent="0.25">
      <c r="B405" s="1" t="s">
        <v>457</v>
      </c>
    </row>
    <row r="406" spans="2:2" x14ac:dyDescent="0.25">
      <c r="B406" s="1" t="s">
        <v>458</v>
      </c>
    </row>
    <row r="407" spans="2:2" x14ac:dyDescent="0.25">
      <c r="B407" s="1" t="s">
        <v>454</v>
      </c>
    </row>
    <row r="408" spans="2:2" x14ac:dyDescent="0.25">
      <c r="B408" s="1" t="s">
        <v>453</v>
      </c>
    </row>
    <row r="409" spans="2:2" x14ac:dyDescent="0.25">
      <c r="B409" s="1" t="s">
        <v>455</v>
      </c>
    </row>
    <row r="410" spans="2:2" x14ac:dyDescent="0.25">
      <c r="B410" s="1" t="s">
        <v>456</v>
      </c>
    </row>
    <row r="411" spans="2:2" x14ac:dyDescent="0.25">
      <c r="B411" s="1" t="s">
        <v>459</v>
      </c>
    </row>
    <row r="412" spans="2:2" x14ac:dyDescent="0.25">
      <c r="B412" s="1" t="s">
        <v>460</v>
      </c>
    </row>
    <row r="413" spans="2:2" x14ac:dyDescent="0.25">
      <c r="B413" s="1" t="s">
        <v>461</v>
      </c>
    </row>
    <row r="414" spans="2:2" x14ac:dyDescent="0.25">
      <c r="B414" s="1" t="s">
        <v>462</v>
      </c>
    </row>
    <row r="417" spans="2:2" x14ac:dyDescent="0.25">
      <c r="B417" s="1" t="s">
        <v>463</v>
      </c>
    </row>
    <row r="418" spans="2:2" x14ac:dyDescent="0.25">
      <c r="B418" s="19" t="s">
        <v>464</v>
      </c>
    </row>
    <row r="419" spans="2:2" ht="30" x14ac:dyDescent="0.25">
      <c r="B419" s="19" t="s">
        <v>465</v>
      </c>
    </row>
    <row r="420" spans="2:2" ht="30" x14ac:dyDescent="0.25">
      <c r="B420" s="19" t="s">
        <v>466</v>
      </c>
    </row>
    <row r="421" spans="2:2" x14ac:dyDescent="0.25">
      <c r="B421" s="1" t="s">
        <v>467</v>
      </c>
    </row>
    <row r="422" spans="2:2" ht="30" x14ac:dyDescent="0.25">
      <c r="B422" s="19" t="s">
        <v>468</v>
      </c>
    </row>
    <row r="423" spans="2:2" x14ac:dyDescent="0.25">
      <c r="B423" s="1" t="s">
        <v>469</v>
      </c>
    </row>
    <row r="424" spans="2:2" ht="30" x14ac:dyDescent="0.25">
      <c r="B424" s="19" t="s">
        <v>470</v>
      </c>
    </row>
    <row r="425" spans="2:2" x14ac:dyDescent="0.25">
      <c r="B425" s="1" t="s">
        <v>471</v>
      </c>
    </row>
    <row r="426" spans="2:2" x14ac:dyDescent="0.25">
      <c r="B426" s="1" t="s">
        <v>472</v>
      </c>
    </row>
    <row r="427" spans="2:2" x14ac:dyDescent="0.25">
      <c r="B427" s="1" t="s">
        <v>473</v>
      </c>
    </row>
    <row r="428" spans="2:2" x14ac:dyDescent="0.25">
      <c r="B428" s="1" t="s">
        <v>474</v>
      </c>
    </row>
    <row r="429" spans="2:2" x14ac:dyDescent="0.25">
      <c r="B429" s="1" t="s">
        <v>475</v>
      </c>
    </row>
    <row r="430" spans="2:2" x14ac:dyDescent="0.25">
      <c r="B430" s="1" t="s">
        <v>476</v>
      </c>
    </row>
    <row r="431" spans="2:2" x14ac:dyDescent="0.25">
      <c r="B431" s="1" t="s">
        <v>479</v>
      </c>
    </row>
    <row r="435" spans="2:2" x14ac:dyDescent="0.25">
      <c r="B435" s="1" t="s">
        <v>480</v>
      </c>
    </row>
    <row r="437" spans="2:2" x14ac:dyDescent="0.25">
      <c r="B437" s="1" t="s">
        <v>477</v>
      </c>
    </row>
    <row r="438" spans="2:2" x14ac:dyDescent="0.25">
      <c r="B438" s="1" t="s">
        <v>478</v>
      </c>
    </row>
    <row r="441" spans="2:2" x14ac:dyDescent="0.25">
      <c r="B441" s="1" t="s">
        <v>730</v>
      </c>
    </row>
    <row r="442" spans="2:2" x14ac:dyDescent="0.25">
      <c r="B442" s="1" t="s">
        <v>481</v>
      </c>
    </row>
    <row r="444" spans="2:2" x14ac:dyDescent="0.25">
      <c r="B444" s="1" t="s">
        <v>482</v>
      </c>
    </row>
    <row r="445" spans="2:2" x14ac:dyDescent="0.25">
      <c r="B445" s="1" t="s">
        <v>485</v>
      </c>
    </row>
    <row r="446" spans="2:2" x14ac:dyDescent="0.25">
      <c r="B446" s="1" t="s">
        <v>486</v>
      </c>
    </row>
    <row r="447" spans="2:2" x14ac:dyDescent="0.25">
      <c r="B447" s="1" t="s">
        <v>484</v>
      </c>
    </row>
    <row r="448" spans="2:2" x14ac:dyDescent="0.25">
      <c r="B448" s="1" t="s">
        <v>483</v>
      </c>
    </row>
    <row r="455" spans="2:2" x14ac:dyDescent="0.25">
      <c r="B455" s="1" t="s">
        <v>502</v>
      </c>
    </row>
    <row r="456" spans="2:2" x14ac:dyDescent="0.25">
      <c r="B456" s="1" t="s">
        <v>491</v>
      </c>
    </row>
    <row r="457" spans="2:2" x14ac:dyDescent="0.25">
      <c r="B457" s="1" t="s">
        <v>492</v>
      </c>
    </row>
    <row r="458" spans="2:2" x14ac:dyDescent="0.25">
      <c r="B458" s="1" t="s">
        <v>493</v>
      </c>
    </row>
    <row r="459" spans="2:2" x14ac:dyDescent="0.25">
      <c r="B459" s="1" t="s">
        <v>494</v>
      </c>
    </row>
    <row r="460" spans="2:2" x14ac:dyDescent="0.25">
      <c r="B460" s="1" t="s">
        <v>495</v>
      </c>
    </row>
    <row r="461" spans="2:2" x14ac:dyDescent="0.25">
      <c r="B461" s="1" t="s">
        <v>496</v>
      </c>
    </row>
    <row r="462" spans="2:2" x14ac:dyDescent="0.25">
      <c r="B462" s="1" t="s">
        <v>497</v>
      </c>
    </row>
    <row r="463" spans="2:2" x14ac:dyDescent="0.25">
      <c r="B463" s="1" t="s">
        <v>498</v>
      </c>
    </row>
    <row r="465" spans="2:2" x14ac:dyDescent="0.25">
      <c r="B465" s="1" t="s">
        <v>499</v>
      </c>
    </row>
    <row r="466" spans="2:2" x14ac:dyDescent="0.25">
      <c r="B466" s="1" t="s">
        <v>501</v>
      </c>
    </row>
    <row r="467" spans="2:2" x14ac:dyDescent="0.25">
      <c r="B467" s="1" t="s">
        <v>500</v>
      </c>
    </row>
    <row r="470" spans="2:2" x14ac:dyDescent="0.25">
      <c r="B470" s="1" t="s">
        <v>505</v>
      </c>
    </row>
    <row r="471" spans="2:2" x14ac:dyDescent="0.25">
      <c r="B471" s="1" t="s">
        <v>506</v>
      </c>
    </row>
    <row r="472" spans="2:2" x14ac:dyDescent="0.25">
      <c r="B472" s="1" t="s">
        <v>422</v>
      </c>
    </row>
    <row r="476" spans="2:2" x14ac:dyDescent="0.25">
      <c r="B476" s="1" t="s">
        <v>504</v>
      </c>
    </row>
    <row r="477" spans="2:2" x14ac:dyDescent="0.25">
      <c r="B477" s="1" t="s">
        <v>507</v>
      </c>
    </row>
    <row r="478" spans="2:2" x14ac:dyDescent="0.25">
      <c r="B478" s="1" t="s">
        <v>508</v>
      </c>
    </row>
    <row r="479" spans="2:2" x14ac:dyDescent="0.25">
      <c r="B479" s="1" t="s">
        <v>509</v>
      </c>
    </row>
    <row r="482" spans="2:2" x14ac:dyDescent="0.25">
      <c r="B482" s="1" t="s">
        <v>735</v>
      </c>
    </row>
    <row r="483" spans="2:2" x14ac:dyDescent="0.25">
      <c r="B483" s="1" t="s">
        <v>736</v>
      </c>
    </row>
    <row r="488" spans="2:2" x14ac:dyDescent="0.25">
      <c r="B488" s="1" t="s">
        <v>778</v>
      </c>
    </row>
    <row r="489" spans="2:2" x14ac:dyDescent="0.25">
      <c r="B489" s="1" t="s">
        <v>779</v>
      </c>
    </row>
    <row r="490" spans="2:2" x14ac:dyDescent="0.25">
      <c r="B490" s="1" t="s">
        <v>780</v>
      </c>
    </row>
    <row r="493" spans="2:2" x14ac:dyDescent="0.25">
      <c r="B493" s="1" t="s">
        <v>588</v>
      </c>
    </row>
    <row r="497" spans="2:2" x14ac:dyDescent="0.25">
      <c r="B497" s="1" t="s">
        <v>729</v>
      </c>
    </row>
  </sheetData>
  <mergeCells count="9">
    <mergeCell ref="O2:R2"/>
    <mergeCell ref="O3:P3"/>
    <mergeCell ref="Q3:R3"/>
    <mergeCell ref="G3:H3"/>
    <mergeCell ref="G2:J2"/>
    <mergeCell ref="I3:J3"/>
    <mergeCell ref="K2:N2"/>
    <mergeCell ref="K3:L3"/>
    <mergeCell ref="M3:N3"/>
  </mergeCells>
  <conditionalFormatting sqref="B254 G2:G3 B217 B196 B182 K2:K3 O2:O3 G252:H256 G258:H262 G264:H1048576 G150:H230 G232:H250 G1:H1 G4:H5 G9:H148 O4:P148 O1:P1 O232:P250 O150:P230 O264:P1048576 O258:P262 O252:P256 K4:L148 K1:L1 K232:L250 K150:L230 K264:L1048576 K258:L262 K252:L256">
    <cfRule type="iconSet" priority="2">
      <iconSet iconSet="5Rating">
        <cfvo type="percent" val="0"/>
        <cfvo type="percent" val="20"/>
        <cfvo type="percent" val="40"/>
        <cfvo type="percent" val="60"/>
        <cfvo type="percent" val="80"/>
      </iconSet>
    </cfRule>
  </conditionalFormatting>
  <conditionalFormatting sqref="B254 G2:G3 B217 B196 B182 K2:K3 O2:O3 G252:H256 G258:H262 G264:H1048576 G232:H250 G1:H1 G4:H5 G9:H230 O4:P230 O1:P1 O232:P250 O264:P1048576 O258:P262 O252:P256 K4:L230 K1:L1 K232:L250 K264:L1048576 K258:L262 K252:L256">
    <cfRule type="iconSet" priority="1">
      <iconSet iconSet="5Rating">
        <cfvo type="percent" val="0"/>
        <cfvo type="percent" val="20"/>
        <cfvo type="percent" val="40"/>
        <cfvo type="percent" val="60"/>
        <cfvo type="percent" val="80"/>
      </iconSet>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84F3-BF1E-48E6-9C26-FF31DF2F4C98}">
  <dimension ref="A2:E17"/>
  <sheetViews>
    <sheetView workbookViewId="0"/>
  </sheetViews>
  <sheetFormatPr baseColWidth="10" defaultColWidth="11.42578125" defaultRowHeight="15" x14ac:dyDescent="0.25"/>
  <cols>
    <col min="1" max="1" width="14.7109375" style="27" customWidth="1"/>
    <col min="2" max="16384" width="11.42578125" style="27"/>
  </cols>
  <sheetData>
    <row r="2" spans="1:5" x14ac:dyDescent="0.25">
      <c r="A2" s="27" t="s">
        <v>798</v>
      </c>
    </row>
    <row r="3" spans="1:5" ht="66.75" customHeight="1" x14ac:dyDescent="0.25"/>
    <row r="4" spans="1:5" x14ac:dyDescent="0.25">
      <c r="C4" s="27" t="s">
        <v>800</v>
      </c>
      <c r="D4" s="27" t="s">
        <v>801</v>
      </c>
      <c r="E4" s="27" t="s">
        <v>802</v>
      </c>
    </row>
    <row r="10" spans="1:5" x14ac:dyDescent="0.25">
      <c r="A10" s="27" t="s">
        <v>799</v>
      </c>
    </row>
    <row r="14" spans="1:5" x14ac:dyDescent="0.25">
      <c r="A14" s="27" t="s">
        <v>803</v>
      </c>
    </row>
    <row r="17" spans="1:1" x14ac:dyDescent="0.25">
      <c r="A17" s="27" t="s">
        <v>804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orkbookViewId="0"/>
  </sheetViews>
  <sheetFormatPr baseColWidth="10" defaultColWidth="12.42578125" defaultRowHeight="15" x14ac:dyDescent="0.25"/>
  <cols>
    <col min="1" max="1" width="20.5703125" customWidth="1"/>
    <col min="2" max="2" width="20.140625" customWidth="1"/>
    <col min="7" max="7" width="15" customWidth="1"/>
  </cols>
  <sheetData>
    <row r="1" spans="1:9" x14ac:dyDescent="0.25">
      <c r="A1" t="s">
        <v>1</v>
      </c>
      <c r="B1" t="s">
        <v>0</v>
      </c>
      <c r="C1" t="s">
        <v>14</v>
      </c>
    </row>
    <row r="3" spans="1:9" x14ac:dyDescent="0.25">
      <c r="A3" t="s">
        <v>2</v>
      </c>
      <c r="B3" t="s">
        <v>3</v>
      </c>
      <c r="G3" t="s">
        <v>21</v>
      </c>
      <c r="I3" t="s">
        <v>24</v>
      </c>
    </row>
    <row r="4" spans="1:9" x14ac:dyDescent="0.25">
      <c r="A4" t="s">
        <v>4</v>
      </c>
      <c r="B4" t="s">
        <v>5</v>
      </c>
      <c r="G4" t="s">
        <v>22</v>
      </c>
      <c r="I4" t="s">
        <v>25</v>
      </c>
    </row>
    <row r="5" spans="1:9" x14ac:dyDescent="0.25">
      <c r="G5" t="s">
        <v>23</v>
      </c>
      <c r="I5" t="s">
        <v>26</v>
      </c>
    </row>
    <row r="6" spans="1:9" x14ac:dyDescent="0.25">
      <c r="A6" t="s">
        <v>6</v>
      </c>
      <c r="B6" t="s">
        <v>7</v>
      </c>
    </row>
    <row r="7" spans="1:9" x14ac:dyDescent="0.25">
      <c r="A7" t="s">
        <v>8</v>
      </c>
      <c r="B7" t="s">
        <v>9</v>
      </c>
    </row>
    <row r="8" spans="1:9" x14ac:dyDescent="0.25">
      <c r="A8" t="s">
        <v>10</v>
      </c>
      <c r="B8" t="s">
        <v>11</v>
      </c>
    </row>
    <row r="9" spans="1:9" x14ac:dyDescent="0.25">
      <c r="B9" t="s">
        <v>12</v>
      </c>
    </row>
    <row r="10" spans="1:9" x14ac:dyDescent="0.25">
      <c r="B10" t="s">
        <v>13</v>
      </c>
    </row>
    <row r="12" spans="1:9" x14ac:dyDescent="0.25">
      <c r="A12" t="s">
        <v>15</v>
      </c>
      <c r="B12" t="s">
        <v>16</v>
      </c>
      <c r="C12" t="s">
        <v>17</v>
      </c>
    </row>
    <row r="13" spans="1:9" x14ac:dyDescent="0.25">
      <c r="B13" t="s">
        <v>19</v>
      </c>
      <c r="C13" t="s">
        <v>20</v>
      </c>
    </row>
    <row r="14" spans="1:9" x14ac:dyDescent="0.25">
      <c r="C14" t="s">
        <v>18</v>
      </c>
    </row>
    <row r="19" spans="2:7" x14ac:dyDescent="0.25">
      <c r="B19" t="s">
        <v>141</v>
      </c>
      <c r="G19" t="s">
        <v>140</v>
      </c>
    </row>
    <row r="20" spans="2:7" x14ac:dyDescent="0.25">
      <c r="B20" t="s">
        <v>142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953A2-E348-45BD-94BB-9853905028F2}">
  <dimension ref="A1:P250"/>
  <sheetViews>
    <sheetView topLeftCell="A58" workbookViewId="0">
      <selection activeCell="H100" sqref="H100"/>
    </sheetView>
  </sheetViews>
  <sheetFormatPr baseColWidth="10" defaultColWidth="21.140625" defaultRowHeight="15" x14ac:dyDescent="0.25"/>
  <cols>
    <col min="1" max="1" width="32" style="1" customWidth="1"/>
    <col min="2" max="2" width="10.42578125" style="1" customWidth="1"/>
    <col min="3" max="11" width="14" style="1" customWidth="1"/>
    <col min="12" max="16384" width="21.140625" style="1"/>
  </cols>
  <sheetData>
    <row r="1" spans="1:16" x14ac:dyDescent="0.25">
      <c r="A1" s="1" t="s">
        <v>27</v>
      </c>
      <c r="B1" s="1" t="s">
        <v>1200</v>
      </c>
      <c r="C1" s="1" t="s">
        <v>28</v>
      </c>
      <c r="D1" s="1" t="s">
        <v>32</v>
      </c>
      <c r="E1" s="1" t="s">
        <v>29</v>
      </c>
      <c r="F1" s="1" t="s">
        <v>30</v>
      </c>
      <c r="G1" s="1" t="s">
        <v>31</v>
      </c>
      <c r="H1" s="1" t="s">
        <v>49</v>
      </c>
      <c r="I1" s="1" t="s">
        <v>50</v>
      </c>
      <c r="J1" s="1" t="s">
        <v>51</v>
      </c>
      <c r="K1" s="1" t="s">
        <v>33</v>
      </c>
    </row>
    <row r="2" spans="1:16" ht="7.5" customHeight="1" x14ac:dyDescent="0.25"/>
    <row r="3" spans="1:16" x14ac:dyDescent="0.25">
      <c r="A3" s="1" t="s">
        <v>39</v>
      </c>
      <c r="C3" s="3"/>
    </row>
    <row r="4" spans="1:16" x14ac:dyDescent="0.25">
      <c r="A4" s="1" t="s">
        <v>34</v>
      </c>
      <c r="C4" s="3"/>
      <c r="D4" s="2"/>
      <c r="N4" s="1" t="s">
        <v>34</v>
      </c>
      <c r="O4" s="1" t="s">
        <v>35</v>
      </c>
    </row>
    <row r="5" spans="1:16" x14ac:dyDescent="0.25">
      <c r="A5" s="1" t="s">
        <v>36</v>
      </c>
      <c r="C5" s="3"/>
      <c r="D5" s="2"/>
      <c r="H5" s="2"/>
      <c r="I5" s="2"/>
      <c r="J5" s="2"/>
      <c r="M5" s="1" t="s">
        <v>39</v>
      </c>
      <c r="N5" s="1" t="s">
        <v>36</v>
      </c>
      <c r="O5" s="1" t="s">
        <v>40</v>
      </c>
      <c r="P5" s="1" t="s">
        <v>38</v>
      </c>
    </row>
    <row r="6" spans="1:16" x14ac:dyDescent="0.25">
      <c r="A6" s="1" t="s">
        <v>41</v>
      </c>
      <c r="C6" s="3"/>
      <c r="D6" s="2"/>
      <c r="E6" s="2"/>
      <c r="F6" s="2"/>
      <c r="G6" s="2"/>
      <c r="H6" s="2"/>
      <c r="I6" s="2"/>
      <c r="J6" s="2"/>
      <c r="K6" s="2"/>
      <c r="N6" s="1" t="s">
        <v>41</v>
      </c>
      <c r="O6" s="1" t="s">
        <v>42</v>
      </c>
    </row>
    <row r="7" spans="1:16" x14ac:dyDescent="0.25">
      <c r="A7" s="1" t="s">
        <v>37</v>
      </c>
      <c r="C7" s="3"/>
      <c r="D7" s="2"/>
      <c r="E7" s="2"/>
      <c r="F7" s="2"/>
      <c r="G7" s="2"/>
      <c r="H7" s="2"/>
      <c r="I7" s="2"/>
      <c r="J7" s="2"/>
      <c r="K7" s="2"/>
      <c r="N7" s="1" t="s">
        <v>37</v>
      </c>
    </row>
    <row r="8" spans="1:16" x14ac:dyDescent="0.25">
      <c r="A8" s="1" t="s">
        <v>35</v>
      </c>
      <c r="C8" s="3"/>
      <c r="H8" s="2"/>
      <c r="I8" s="2"/>
      <c r="J8" s="2"/>
    </row>
    <row r="9" spans="1:16" x14ac:dyDescent="0.25">
      <c r="A9" s="1" t="s">
        <v>40</v>
      </c>
      <c r="C9" s="3"/>
    </row>
    <row r="10" spans="1:16" x14ac:dyDescent="0.25">
      <c r="A10" s="1" t="s">
        <v>42</v>
      </c>
      <c r="C10" s="3"/>
    </row>
    <row r="11" spans="1:16" x14ac:dyDescent="0.25">
      <c r="A11" s="1" t="s">
        <v>38</v>
      </c>
      <c r="C11" s="3"/>
    </row>
    <row r="12" spans="1:16" ht="7.5" customHeight="1" x14ac:dyDescent="0.25"/>
    <row r="13" spans="1:16" x14ac:dyDescent="0.25">
      <c r="A13" s="1" t="s">
        <v>43</v>
      </c>
      <c r="D13" s="3"/>
    </row>
    <row r="14" spans="1:16" x14ac:dyDescent="0.25">
      <c r="A14" s="1" t="s">
        <v>44</v>
      </c>
      <c r="D14" s="3"/>
    </row>
    <row r="15" spans="1:16" x14ac:dyDescent="0.25">
      <c r="A15" s="1" t="s">
        <v>45</v>
      </c>
      <c r="D15" s="3"/>
    </row>
    <row r="16" spans="1:16" x14ac:dyDescent="0.25">
      <c r="A16" s="1" t="s">
        <v>46</v>
      </c>
      <c r="D16" s="3"/>
    </row>
    <row r="17" spans="1:11" ht="7.5" customHeight="1" x14ac:dyDescent="0.25"/>
    <row r="18" spans="1:11" x14ac:dyDescent="0.25">
      <c r="A18" s="1" t="s">
        <v>47</v>
      </c>
      <c r="C18" s="2"/>
      <c r="E18" s="3"/>
    </row>
    <row r="19" spans="1:11" x14ac:dyDescent="0.25">
      <c r="A19" s="1" t="s">
        <v>48</v>
      </c>
      <c r="C19" s="2"/>
      <c r="E19" s="3"/>
    </row>
    <row r="20" spans="1:11" x14ac:dyDescent="0.25">
      <c r="A20" s="1" t="s">
        <v>52</v>
      </c>
      <c r="E20" s="3"/>
      <c r="K20" s="3"/>
    </row>
    <row r="21" spans="1:11" x14ac:dyDescent="0.25">
      <c r="A21" s="1" t="s">
        <v>53</v>
      </c>
      <c r="E21" s="3"/>
    </row>
    <row r="22" spans="1:11" x14ac:dyDescent="0.25">
      <c r="A22" s="1" t="s">
        <v>54</v>
      </c>
      <c r="E22" s="3"/>
      <c r="H22" s="3"/>
    </row>
    <row r="23" spans="1:11" ht="7.5" customHeight="1" x14ac:dyDescent="0.25"/>
    <row r="24" spans="1:11" x14ac:dyDescent="0.25">
      <c r="A24" s="1" t="s">
        <v>55</v>
      </c>
      <c r="C24" s="2"/>
      <c r="F24" s="3"/>
    </row>
    <row r="25" spans="1:11" x14ac:dyDescent="0.25">
      <c r="A25" s="1" t="s">
        <v>56</v>
      </c>
      <c r="C25" s="2"/>
      <c r="F25" s="3"/>
    </row>
    <row r="26" spans="1:11" x14ac:dyDescent="0.25">
      <c r="A26" s="1" t="s">
        <v>57</v>
      </c>
      <c r="C26" s="2"/>
      <c r="F26" s="3"/>
    </row>
    <row r="27" spans="1:11" x14ac:dyDescent="0.25">
      <c r="A27" s="1" t="s">
        <v>58</v>
      </c>
      <c r="F27" s="3"/>
    </row>
    <row r="28" spans="1:11" x14ac:dyDescent="0.25">
      <c r="A28" s="1" t="s">
        <v>59</v>
      </c>
      <c r="F28" s="3"/>
    </row>
    <row r="29" spans="1:11" ht="7.5" customHeight="1" x14ac:dyDescent="0.25"/>
    <row r="30" spans="1:11" x14ac:dyDescent="0.25">
      <c r="A30" s="1" t="s">
        <v>60</v>
      </c>
      <c r="D30" s="3"/>
    </row>
    <row r="31" spans="1:11" x14ac:dyDescent="0.25">
      <c r="A31" s="1" t="s">
        <v>61</v>
      </c>
      <c r="G31" s="3"/>
    </row>
    <row r="32" spans="1:11" x14ac:dyDescent="0.25">
      <c r="A32" s="1" t="s">
        <v>62</v>
      </c>
      <c r="G32" s="3"/>
    </row>
    <row r="33" spans="1:13" x14ac:dyDescent="0.25">
      <c r="A33" s="1" t="s">
        <v>63</v>
      </c>
      <c r="G33" s="3"/>
    </row>
    <row r="34" spans="1:13" x14ac:dyDescent="0.25">
      <c r="A34" s="1" t="s">
        <v>64</v>
      </c>
      <c r="G34" s="3"/>
    </row>
    <row r="35" spans="1:13" x14ac:dyDescent="0.25">
      <c r="A35" s="1" t="s">
        <v>65</v>
      </c>
      <c r="G35" s="3"/>
    </row>
    <row r="36" spans="1:13" x14ac:dyDescent="0.25">
      <c r="A36" s="1" t="s">
        <v>67</v>
      </c>
      <c r="C36" s="2"/>
      <c r="D36" s="2"/>
      <c r="E36" s="2"/>
      <c r="F36" s="2"/>
      <c r="H36" s="2"/>
      <c r="I36" s="2"/>
      <c r="J36" s="2"/>
      <c r="K36" s="2"/>
    </row>
    <row r="37" spans="1:13" x14ac:dyDescent="0.25">
      <c r="A37" s="1" t="s">
        <v>66</v>
      </c>
      <c r="G37" s="3"/>
      <c r="H37" s="3"/>
    </row>
    <row r="38" spans="1:13" ht="7.5" customHeight="1" x14ac:dyDescent="0.25"/>
    <row r="39" spans="1:13" x14ac:dyDescent="0.25">
      <c r="A39" s="1" t="s">
        <v>68</v>
      </c>
      <c r="H39" s="3"/>
    </row>
    <row r="40" spans="1:13" x14ac:dyDescent="0.25">
      <c r="A40" s="1" t="s">
        <v>69</v>
      </c>
      <c r="H40" s="3"/>
    </row>
    <row r="41" spans="1:13" x14ac:dyDescent="0.25">
      <c r="A41" s="1" t="s">
        <v>70</v>
      </c>
      <c r="H41" s="3"/>
    </row>
    <row r="42" spans="1:13" x14ac:dyDescent="0.25">
      <c r="A42" s="1" t="s">
        <v>71</v>
      </c>
      <c r="H42" s="3"/>
    </row>
    <row r="43" spans="1:13" x14ac:dyDescent="0.25">
      <c r="A43" s="1" t="s">
        <v>72</v>
      </c>
      <c r="H43" s="3"/>
    </row>
    <row r="44" spans="1:13" ht="7.5" customHeight="1" x14ac:dyDescent="0.25"/>
    <row r="45" spans="1:13" x14ac:dyDescent="0.25">
      <c r="A45" s="1" t="s">
        <v>73</v>
      </c>
      <c r="I45" s="3"/>
    </row>
    <row r="46" spans="1:13" x14ac:dyDescent="0.25">
      <c r="A46" s="1" t="s">
        <v>74</v>
      </c>
      <c r="I46" s="3"/>
    </row>
    <row r="47" spans="1:13" x14ac:dyDescent="0.25">
      <c r="A47" s="1" t="s">
        <v>77</v>
      </c>
      <c r="I47" s="3"/>
      <c r="M47" s="1" t="s">
        <v>78</v>
      </c>
    </row>
    <row r="48" spans="1:13" x14ac:dyDescent="0.25">
      <c r="A48" s="1" t="s">
        <v>76</v>
      </c>
      <c r="I48" s="3"/>
      <c r="M48" s="1" t="s">
        <v>79</v>
      </c>
    </row>
    <row r="49" spans="1:11" x14ac:dyDescent="0.25">
      <c r="A49" s="1" t="s">
        <v>75</v>
      </c>
      <c r="H49" s="3"/>
      <c r="I49" s="3"/>
    </row>
    <row r="50" spans="1:11" ht="7.5" customHeight="1" x14ac:dyDescent="0.25"/>
    <row r="51" spans="1:11" x14ac:dyDescent="0.25">
      <c r="A51" s="1" t="s">
        <v>80</v>
      </c>
      <c r="J51" s="3"/>
    </row>
    <row r="52" spans="1:11" x14ac:dyDescent="0.25">
      <c r="A52" s="1" t="s">
        <v>81</v>
      </c>
      <c r="J52" s="3"/>
    </row>
    <row r="53" spans="1:11" x14ac:dyDescent="0.25">
      <c r="A53" s="1" t="s">
        <v>82</v>
      </c>
      <c r="J53" s="3"/>
    </row>
    <row r="54" spans="1:11" x14ac:dyDescent="0.25">
      <c r="A54" s="1" t="s">
        <v>85</v>
      </c>
      <c r="J54" s="3"/>
    </row>
    <row r="55" spans="1:11" x14ac:dyDescent="0.25">
      <c r="A55" s="1" t="s">
        <v>84</v>
      </c>
      <c r="J55" s="3"/>
    </row>
    <row r="56" spans="1:11" x14ac:dyDescent="0.25">
      <c r="A56" s="1" t="s">
        <v>83</v>
      </c>
      <c r="J56" s="3"/>
    </row>
    <row r="57" spans="1:11" ht="7.5" customHeight="1" x14ac:dyDescent="0.25"/>
    <row r="58" spans="1:11" x14ac:dyDescent="0.25">
      <c r="A58" s="1" t="s">
        <v>86</v>
      </c>
      <c r="K58" s="3"/>
    </row>
    <row r="59" spans="1:11" x14ac:dyDescent="0.25">
      <c r="A59" s="1" t="s">
        <v>87</v>
      </c>
      <c r="K59" s="3"/>
    </row>
    <row r="60" spans="1:11" x14ac:dyDescent="0.25">
      <c r="A60" s="1" t="s">
        <v>89</v>
      </c>
      <c r="K60" s="3"/>
    </row>
    <row r="61" spans="1:11" x14ac:dyDescent="0.25">
      <c r="A61" s="1" t="s">
        <v>88</v>
      </c>
      <c r="K61" s="3"/>
    </row>
    <row r="62" spans="1:11" x14ac:dyDescent="0.25">
      <c r="A62" s="1" t="s">
        <v>90</v>
      </c>
      <c r="K62" s="3"/>
    </row>
    <row r="63" spans="1:11" ht="7.5" customHeight="1" x14ac:dyDescent="0.25"/>
    <row r="64" spans="1:11" x14ac:dyDescent="0.25">
      <c r="A64" s="1" t="s">
        <v>94</v>
      </c>
      <c r="C64" s="3"/>
      <c r="D64" s="3"/>
      <c r="E64" s="3"/>
      <c r="F64" s="3"/>
      <c r="G64" s="3"/>
      <c r="H64" s="3"/>
      <c r="I64" s="3"/>
      <c r="J64" s="3"/>
      <c r="K64" s="3"/>
    </row>
    <row r="65" spans="1:11" x14ac:dyDescent="0.25">
      <c r="A65" s="1" t="s">
        <v>95</v>
      </c>
      <c r="C65" s="3"/>
      <c r="D65" s="3"/>
      <c r="E65" s="3"/>
      <c r="F65" s="3"/>
      <c r="G65" s="3"/>
      <c r="H65" s="3"/>
      <c r="I65" s="3"/>
      <c r="J65" s="3"/>
      <c r="K65" s="3"/>
    </row>
    <row r="66" spans="1:11" x14ac:dyDescent="0.25">
      <c r="A66" s="1" t="s">
        <v>96</v>
      </c>
      <c r="C66" s="3"/>
      <c r="D66" s="3"/>
      <c r="E66" s="3"/>
      <c r="F66" s="3"/>
      <c r="G66" s="3"/>
      <c r="H66" s="3"/>
      <c r="I66" s="3"/>
      <c r="J66" s="3"/>
      <c r="K66" s="3"/>
    </row>
    <row r="67" spans="1:11" x14ac:dyDescent="0.25">
      <c r="A67" s="1" t="s">
        <v>97</v>
      </c>
      <c r="C67" s="3"/>
      <c r="D67" s="3"/>
      <c r="E67" s="3"/>
      <c r="F67" s="3"/>
      <c r="G67" s="3"/>
      <c r="H67" s="3"/>
      <c r="I67" s="3"/>
      <c r="J67" s="3"/>
      <c r="K67" s="3"/>
    </row>
    <row r="68" spans="1:11" x14ac:dyDescent="0.25">
      <c r="A68" s="1" t="s">
        <v>98</v>
      </c>
      <c r="C68" s="3"/>
      <c r="D68" s="3"/>
      <c r="E68" s="3"/>
      <c r="F68" s="3"/>
      <c r="G68" s="3"/>
      <c r="H68" s="3"/>
      <c r="I68" s="3"/>
      <c r="J68" s="3"/>
      <c r="K68" s="3"/>
    </row>
    <row r="69" spans="1:11" x14ac:dyDescent="0.25">
      <c r="A69" s="1" t="s">
        <v>99</v>
      </c>
      <c r="C69" s="3"/>
      <c r="D69" s="3"/>
      <c r="E69" s="3"/>
      <c r="F69" s="3"/>
      <c r="G69" s="3"/>
      <c r="H69" s="3"/>
      <c r="I69" s="3"/>
      <c r="J69" s="3"/>
      <c r="K69" s="3"/>
    </row>
    <row r="70" spans="1:11" x14ac:dyDescent="0.25">
      <c r="A70" s="1" t="s">
        <v>101</v>
      </c>
      <c r="C70" s="3"/>
      <c r="D70" s="3"/>
      <c r="E70" s="3"/>
      <c r="F70" s="3"/>
      <c r="G70" s="3"/>
      <c r="H70" s="3"/>
      <c r="I70" s="3"/>
      <c r="J70" s="3"/>
      <c r="K70" s="3"/>
    </row>
    <row r="71" spans="1:11" x14ac:dyDescent="0.25">
      <c r="A71" s="1" t="s">
        <v>100</v>
      </c>
      <c r="C71" s="3"/>
      <c r="D71" s="3"/>
      <c r="E71" s="3"/>
      <c r="F71" s="3"/>
      <c r="G71" s="3"/>
      <c r="H71" s="3"/>
      <c r="I71" s="3"/>
      <c r="J71" s="3"/>
      <c r="K71" s="3"/>
    </row>
    <row r="72" spans="1:11" x14ac:dyDescent="0.25">
      <c r="A72" s="1" t="s">
        <v>92</v>
      </c>
      <c r="C72" s="3"/>
      <c r="D72" s="3"/>
      <c r="E72" s="3"/>
      <c r="F72" s="3"/>
      <c r="G72" s="3"/>
      <c r="H72" s="3"/>
      <c r="I72" s="3"/>
      <c r="J72" s="3"/>
      <c r="K72" s="3"/>
    </row>
    <row r="73" spans="1:11" x14ac:dyDescent="0.25">
      <c r="A73" s="1" t="s">
        <v>91</v>
      </c>
      <c r="C73" s="2"/>
      <c r="D73" s="2"/>
      <c r="E73" s="2"/>
      <c r="F73" s="2"/>
      <c r="G73" s="2"/>
      <c r="H73" s="2"/>
      <c r="I73" s="2"/>
      <c r="J73" s="2"/>
      <c r="K73" s="3"/>
    </row>
    <row r="74" spans="1:11" x14ac:dyDescent="0.25">
      <c r="A74" s="1" t="s">
        <v>93</v>
      </c>
      <c r="K74" s="3"/>
    </row>
    <row r="75" spans="1:11" x14ac:dyDescent="0.25">
      <c r="A75" s="1" t="s">
        <v>103</v>
      </c>
      <c r="C75" s="2"/>
      <c r="D75" s="2"/>
      <c r="E75" s="2"/>
      <c r="F75" s="2"/>
      <c r="G75" s="2"/>
      <c r="H75" s="2"/>
      <c r="I75" s="2"/>
      <c r="J75" s="2"/>
      <c r="K75" s="3"/>
    </row>
    <row r="76" spans="1:11" x14ac:dyDescent="0.25">
      <c r="A76" s="1" t="s">
        <v>102</v>
      </c>
      <c r="C76" s="2"/>
      <c r="K76" s="3"/>
    </row>
    <row r="83" spans="1:15" s="81" customFormat="1" x14ac:dyDescent="0.25">
      <c r="A83" s="81" t="s">
        <v>190</v>
      </c>
    </row>
    <row r="86" spans="1:15" ht="33.75" x14ac:dyDescent="0.5">
      <c r="A86" s="55" t="s">
        <v>1201</v>
      </c>
    </row>
    <row r="87" spans="1:15" x14ac:dyDescent="0.25">
      <c r="A87" s="1" t="s">
        <v>975</v>
      </c>
      <c r="B87" s="1" t="s">
        <v>1322</v>
      </c>
      <c r="C87" s="1" t="s">
        <v>1323</v>
      </c>
      <c r="L87" s="18"/>
      <c r="N87" s="60" t="s">
        <v>1136</v>
      </c>
      <c r="O87" s="1" t="s">
        <v>903</v>
      </c>
    </row>
    <row r="88" spans="1:15" x14ac:dyDescent="0.25">
      <c r="N88" s="60" t="s">
        <v>919</v>
      </c>
      <c r="O88" s="1" t="s">
        <v>940</v>
      </c>
    </row>
    <row r="89" spans="1:15" x14ac:dyDescent="0.25">
      <c r="A89" s="1" t="s">
        <v>1321</v>
      </c>
      <c r="B89" s="1">
        <v>1</v>
      </c>
      <c r="C89" s="1">
        <v>6</v>
      </c>
      <c r="D89" s="18" t="s">
        <v>386</v>
      </c>
      <c r="N89" s="60" t="s">
        <v>920</v>
      </c>
      <c r="O89" s="1" t="s">
        <v>942</v>
      </c>
    </row>
    <row r="90" spans="1:15" x14ac:dyDescent="0.25">
      <c r="A90" s="1" t="s">
        <v>1204</v>
      </c>
      <c r="B90" s="1">
        <v>1</v>
      </c>
      <c r="C90" s="1">
        <v>6</v>
      </c>
      <c r="D90" s="18" t="s">
        <v>410</v>
      </c>
      <c r="L90" s="18"/>
      <c r="N90" s="60" t="s">
        <v>921</v>
      </c>
      <c r="O90" s="1" t="s">
        <v>1147</v>
      </c>
    </row>
    <row r="91" spans="1:15" x14ac:dyDescent="0.25">
      <c r="A91" s="1" t="s">
        <v>1203</v>
      </c>
      <c r="B91" s="1">
        <v>3</v>
      </c>
      <c r="C91" s="1">
        <v>6</v>
      </c>
      <c r="D91" s="18" t="s">
        <v>386</v>
      </c>
      <c r="L91" s="18"/>
      <c r="N91" s="60" t="s">
        <v>922</v>
      </c>
      <c r="O91" s="1" t="s">
        <v>913</v>
      </c>
    </row>
    <row r="92" spans="1:15" x14ac:dyDescent="0.25">
      <c r="A92" s="1" t="s">
        <v>1211</v>
      </c>
      <c r="B92" s="1">
        <v>5</v>
      </c>
      <c r="C92" s="1">
        <v>6</v>
      </c>
      <c r="D92" s="18" t="s">
        <v>410</v>
      </c>
      <c r="L92" s="18"/>
      <c r="N92" s="60" t="s">
        <v>923</v>
      </c>
      <c r="O92" s="1" t="s">
        <v>29</v>
      </c>
    </row>
    <row r="93" spans="1:15" x14ac:dyDescent="0.25">
      <c r="A93" s="1" t="s">
        <v>1220</v>
      </c>
      <c r="B93" s="1">
        <v>6</v>
      </c>
      <c r="C93" s="1">
        <v>10</v>
      </c>
      <c r="D93" s="18" t="s">
        <v>410</v>
      </c>
      <c r="L93" s="18"/>
      <c r="N93" s="60" t="s">
        <v>924</v>
      </c>
      <c r="O93" s="1" t="s">
        <v>1143</v>
      </c>
    </row>
    <row r="94" spans="1:15" x14ac:dyDescent="0.25">
      <c r="A94" s="1" t="s">
        <v>1324</v>
      </c>
      <c r="B94" s="1">
        <v>6</v>
      </c>
      <c r="C94" s="1">
        <v>10</v>
      </c>
      <c r="D94" s="18" t="s">
        <v>386</v>
      </c>
      <c r="L94" s="18"/>
    </row>
    <row r="95" spans="1:15" x14ac:dyDescent="0.25">
      <c r="D95" s="18"/>
      <c r="L95" s="18"/>
    </row>
    <row r="96" spans="1:15" x14ac:dyDescent="0.25">
      <c r="D96" s="18"/>
      <c r="L96" s="18"/>
      <c r="N96" s="60" t="s">
        <v>925</v>
      </c>
      <c r="O96" s="1" t="s">
        <v>1142</v>
      </c>
    </row>
    <row r="97" spans="1:15" x14ac:dyDescent="0.25">
      <c r="A97" s="1" t="s">
        <v>1206</v>
      </c>
      <c r="B97" s="1">
        <v>1</v>
      </c>
      <c r="D97" s="18" t="s">
        <v>395</v>
      </c>
      <c r="L97" s="18"/>
      <c r="N97" s="60" t="s">
        <v>926</v>
      </c>
      <c r="O97" s="1" t="s">
        <v>914</v>
      </c>
    </row>
    <row r="98" spans="1:15" x14ac:dyDescent="0.25">
      <c r="A98" s="1" t="s">
        <v>1205</v>
      </c>
      <c r="B98" s="1">
        <v>3</v>
      </c>
      <c r="D98" s="18" t="s">
        <v>395</v>
      </c>
      <c r="L98" s="18"/>
      <c r="N98" s="60" t="s">
        <v>927</v>
      </c>
      <c r="O98" s="1" t="s">
        <v>51</v>
      </c>
    </row>
    <row r="99" spans="1:15" x14ac:dyDescent="0.25">
      <c r="A99" s="1" t="s">
        <v>1325</v>
      </c>
      <c r="B99" s="1">
        <v>6</v>
      </c>
      <c r="D99" s="18" t="s">
        <v>395</v>
      </c>
      <c r="L99" s="18"/>
      <c r="N99" s="60"/>
    </row>
    <row r="100" spans="1:15" x14ac:dyDescent="0.25">
      <c r="A100" s="1" t="s">
        <v>1326</v>
      </c>
      <c r="B100" s="1">
        <v>6</v>
      </c>
      <c r="D100" s="18" t="s">
        <v>395</v>
      </c>
    </row>
    <row r="101" spans="1:15" x14ac:dyDescent="0.25">
      <c r="N101" s="60" t="s">
        <v>928</v>
      </c>
      <c r="O101" s="1" t="s">
        <v>915</v>
      </c>
    </row>
    <row r="102" spans="1:15" x14ac:dyDescent="0.25">
      <c r="A102" s="1" t="s">
        <v>1231</v>
      </c>
      <c r="B102" s="1">
        <v>1</v>
      </c>
      <c r="D102" s="18" t="s">
        <v>391</v>
      </c>
      <c r="N102" s="60" t="s">
        <v>1137</v>
      </c>
      <c r="O102" s="1" t="s">
        <v>916</v>
      </c>
    </row>
    <row r="103" spans="1:15" x14ac:dyDescent="0.25">
      <c r="A103" s="1" t="s">
        <v>1207</v>
      </c>
      <c r="B103" s="1">
        <v>2</v>
      </c>
      <c r="D103" s="18" t="s">
        <v>1135</v>
      </c>
      <c r="N103" s="60" t="s">
        <v>1138</v>
      </c>
      <c r="O103" s="1" t="s">
        <v>917</v>
      </c>
    </row>
    <row r="104" spans="1:15" x14ac:dyDescent="0.25">
      <c r="N104" s="60" t="s">
        <v>1139</v>
      </c>
      <c r="O104" s="1" t="s">
        <v>991</v>
      </c>
    </row>
    <row r="105" spans="1:15" x14ac:dyDescent="0.25">
      <c r="A105" s="1" t="s">
        <v>1208</v>
      </c>
      <c r="B105" s="1">
        <v>4</v>
      </c>
      <c r="D105" s="18" t="s">
        <v>391</v>
      </c>
      <c r="N105" s="60" t="s">
        <v>1140</v>
      </c>
      <c r="O105" s="1" t="s">
        <v>918</v>
      </c>
    </row>
    <row r="106" spans="1:15" x14ac:dyDescent="0.25">
      <c r="A106" s="1" t="s">
        <v>1209</v>
      </c>
      <c r="B106" s="1">
        <v>4</v>
      </c>
      <c r="D106" s="18" t="s">
        <v>1135</v>
      </c>
      <c r="N106" s="60" t="s">
        <v>1141</v>
      </c>
      <c r="O106" s="1" t="s">
        <v>1166</v>
      </c>
    </row>
    <row r="108" spans="1:15" x14ac:dyDescent="0.25">
      <c r="A108" s="1" t="s">
        <v>1210</v>
      </c>
      <c r="B108" s="1">
        <v>1</v>
      </c>
      <c r="D108" s="18" t="s">
        <v>1193</v>
      </c>
      <c r="L108" s="18"/>
    </row>
    <row r="109" spans="1:15" x14ac:dyDescent="0.25">
      <c r="A109" s="1" t="s">
        <v>1212</v>
      </c>
      <c r="B109" s="1">
        <v>4</v>
      </c>
      <c r="D109" s="18" t="s">
        <v>1193</v>
      </c>
      <c r="L109" s="18"/>
    </row>
    <row r="110" spans="1:15" x14ac:dyDescent="0.25">
      <c r="A110" s="1" t="s">
        <v>1213</v>
      </c>
      <c r="B110" s="1">
        <v>6</v>
      </c>
      <c r="D110" s="18" t="s">
        <v>1193</v>
      </c>
      <c r="L110" s="18"/>
    </row>
    <row r="111" spans="1:15" x14ac:dyDescent="0.25">
      <c r="A111" s="1" t="s">
        <v>1248</v>
      </c>
      <c r="B111" s="1">
        <v>8</v>
      </c>
      <c r="D111" s="18" t="s">
        <v>1188</v>
      </c>
      <c r="L111" s="18"/>
    </row>
    <row r="112" spans="1:15" x14ac:dyDescent="0.25">
      <c r="L112" s="18"/>
    </row>
    <row r="114" spans="1:12" x14ac:dyDescent="0.25">
      <c r="A114" s="1" t="s">
        <v>1214</v>
      </c>
      <c r="D114" s="1" t="s">
        <v>891</v>
      </c>
    </row>
    <row r="116" spans="1:12" x14ac:dyDescent="0.25">
      <c r="A116" s="1" t="s">
        <v>1215</v>
      </c>
      <c r="B116" s="1">
        <v>7</v>
      </c>
      <c r="D116" s="1" t="s">
        <v>893</v>
      </c>
    </row>
    <row r="118" spans="1:12" x14ac:dyDescent="0.25">
      <c r="A118" s="1" t="s">
        <v>1216</v>
      </c>
      <c r="B118" s="1">
        <v>2</v>
      </c>
      <c r="D118" s="18" t="s">
        <v>957</v>
      </c>
    </row>
    <row r="120" spans="1:12" x14ac:dyDescent="0.25">
      <c r="A120" s="1" t="s">
        <v>1217</v>
      </c>
      <c r="B120" s="1">
        <v>1</v>
      </c>
      <c r="D120" s="1" t="s">
        <v>1022</v>
      </c>
      <c r="L120" s="18"/>
    </row>
    <row r="121" spans="1:12" x14ac:dyDescent="0.25">
      <c r="A121" s="1" t="s">
        <v>1218</v>
      </c>
      <c r="B121" s="1">
        <v>4</v>
      </c>
      <c r="D121" s="1" t="s">
        <v>1022</v>
      </c>
      <c r="L121" s="18"/>
    </row>
    <row r="122" spans="1:12" x14ac:dyDescent="0.25">
      <c r="A122" s="1" t="s">
        <v>1219</v>
      </c>
      <c r="B122" s="1">
        <v>6</v>
      </c>
      <c r="D122" s="1" t="s">
        <v>1022</v>
      </c>
    </row>
    <row r="123" spans="1:12" x14ac:dyDescent="0.25">
      <c r="L123" s="18"/>
    </row>
    <row r="124" spans="1:12" x14ac:dyDescent="0.25">
      <c r="A124" s="1" t="s">
        <v>1221</v>
      </c>
      <c r="B124" s="1">
        <v>6</v>
      </c>
      <c r="D124" s="18" t="s">
        <v>404</v>
      </c>
    </row>
    <row r="125" spans="1:12" x14ac:dyDescent="0.25">
      <c r="A125" s="1" t="s">
        <v>1247</v>
      </c>
      <c r="B125" s="1">
        <v>8</v>
      </c>
      <c r="D125" s="18" t="s">
        <v>404</v>
      </c>
      <c r="L125" s="18"/>
    </row>
    <row r="126" spans="1:12" x14ac:dyDescent="0.25">
      <c r="L126" s="18"/>
    </row>
    <row r="127" spans="1:12" x14ac:dyDescent="0.25">
      <c r="A127" s="1" t="s">
        <v>1223</v>
      </c>
      <c r="B127" s="1">
        <v>3</v>
      </c>
      <c r="D127" s="18" t="s">
        <v>402</v>
      </c>
      <c r="L127" s="18"/>
    </row>
    <row r="128" spans="1:12" x14ac:dyDescent="0.25">
      <c r="A128" s="1" t="s">
        <v>1224</v>
      </c>
      <c r="B128" s="1">
        <v>5</v>
      </c>
      <c r="D128" s="18" t="s">
        <v>402</v>
      </c>
      <c r="L128" s="18"/>
    </row>
    <row r="129" spans="1:12" x14ac:dyDescent="0.25">
      <c r="A129" s="1" t="s">
        <v>1222</v>
      </c>
      <c r="B129" s="1">
        <v>6</v>
      </c>
      <c r="D129" s="18" t="s">
        <v>402</v>
      </c>
      <c r="L129" s="18"/>
    </row>
    <row r="130" spans="1:12" x14ac:dyDescent="0.25">
      <c r="L130" s="18"/>
    </row>
    <row r="131" spans="1:12" x14ac:dyDescent="0.25">
      <c r="A131" s="1" t="s">
        <v>1225</v>
      </c>
      <c r="B131" s="1">
        <v>5</v>
      </c>
      <c r="D131" s="18" t="s">
        <v>403</v>
      </c>
    </row>
    <row r="132" spans="1:12" x14ac:dyDescent="0.25">
      <c r="A132" s="1" t="s">
        <v>1226</v>
      </c>
      <c r="B132" s="1">
        <v>6</v>
      </c>
      <c r="D132" s="18" t="s">
        <v>403</v>
      </c>
      <c r="L132" s="18"/>
    </row>
    <row r="133" spans="1:12" x14ac:dyDescent="0.25">
      <c r="A133" s="1" t="s">
        <v>1227</v>
      </c>
      <c r="B133" s="1">
        <v>8</v>
      </c>
      <c r="D133" s="18" t="s">
        <v>403</v>
      </c>
    </row>
    <row r="135" spans="1:12" x14ac:dyDescent="0.25">
      <c r="A135" s="1" t="s">
        <v>1228</v>
      </c>
      <c r="B135" s="1">
        <v>7</v>
      </c>
      <c r="D135" s="18" t="s">
        <v>411</v>
      </c>
    </row>
    <row r="136" spans="1:12" x14ac:dyDescent="0.25">
      <c r="A136" s="1" t="s">
        <v>1229</v>
      </c>
      <c r="B136" s="1">
        <v>9</v>
      </c>
      <c r="D136" s="18" t="s">
        <v>411</v>
      </c>
    </row>
    <row r="138" spans="1:12" x14ac:dyDescent="0.25">
      <c r="A138" s="1" t="s">
        <v>1230</v>
      </c>
      <c r="B138" s="1">
        <v>6</v>
      </c>
      <c r="D138" s="18" t="s">
        <v>392</v>
      </c>
    </row>
    <row r="139" spans="1:12" x14ac:dyDescent="0.25">
      <c r="D139" s="18"/>
    </row>
    <row r="140" spans="1:12" x14ac:dyDescent="0.25">
      <c r="A140" s="1" t="s">
        <v>1233</v>
      </c>
      <c r="B140" s="1">
        <v>5</v>
      </c>
      <c r="D140" s="18" t="s">
        <v>979</v>
      </c>
    </row>
    <row r="141" spans="1:12" x14ac:dyDescent="0.25">
      <c r="A141" s="1" t="s">
        <v>1232</v>
      </c>
      <c r="B141" s="1">
        <v>7</v>
      </c>
      <c r="D141" s="18" t="s">
        <v>979</v>
      </c>
    </row>
    <row r="142" spans="1:12" x14ac:dyDescent="0.25">
      <c r="D142" s="18"/>
      <c r="L142" s="27"/>
    </row>
    <row r="143" spans="1:12" x14ac:dyDescent="0.25">
      <c r="A143" s="1" t="s">
        <v>1235</v>
      </c>
      <c r="B143" s="1">
        <v>5</v>
      </c>
      <c r="D143" s="18" t="s">
        <v>1016</v>
      </c>
    </row>
    <row r="144" spans="1:12" x14ac:dyDescent="0.25">
      <c r="A144" s="1" t="s">
        <v>1236</v>
      </c>
      <c r="B144" s="1">
        <v>5</v>
      </c>
      <c r="D144" s="1" t="s">
        <v>1241</v>
      </c>
      <c r="L144" s="18" t="s">
        <v>589</v>
      </c>
    </row>
    <row r="145" spans="1:12" x14ac:dyDescent="0.25">
      <c r="L145" s="18"/>
    </row>
    <row r="146" spans="1:12" x14ac:dyDescent="0.25">
      <c r="A146" s="1" t="s">
        <v>1234</v>
      </c>
      <c r="B146" s="1">
        <v>6</v>
      </c>
      <c r="D146" s="18" t="s">
        <v>1013</v>
      </c>
    </row>
    <row r="147" spans="1:12" x14ac:dyDescent="0.25">
      <c r="A147" s="1" t="s">
        <v>1237</v>
      </c>
      <c r="B147" s="1">
        <v>6</v>
      </c>
      <c r="D147" s="1" t="s">
        <v>1241</v>
      </c>
      <c r="L147" s="18" t="s">
        <v>739</v>
      </c>
    </row>
    <row r="148" spans="1:12" x14ac:dyDescent="0.25">
      <c r="L148" s="18" t="s">
        <v>996</v>
      </c>
    </row>
    <row r="149" spans="1:12" x14ac:dyDescent="0.25">
      <c r="L149" s="18" t="s">
        <v>523</v>
      </c>
    </row>
    <row r="150" spans="1:12" x14ac:dyDescent="0.25">
      <c r="A150" s="1" t="s">
        <v>1238</v>
      </c>
      <c r="B150" s="1">
        <v>7</v>
      </c>
      <c r="D150" s="18" t="s">
        <v>705</v>
      </c>
      <c r="L150" s="18" t="s">
        <v>726</v>
      </c>
    </row>
    <row r="151" spans="1:12" x14ac:dyDescent="0.25">
      <c r="A151" s="1" t="s">
        <v>1240</v>
      </c>
      <c r="B151" s="1">
        <v>7</v>
      </c>
      <c r="D151" s="18" t="s">
        <v>722</v>
      </c>
      <c r="L151" s="18"/>
    </row>
    <row r="152" spans="1:12" x14ac:dyDescent="0.25">
      <c r="A152" s="1" t="s">
        <v>1242</v>
      </c>
      <c r="B152" s="1">
        <v>7</v>
      </c>
      <c r="D152" s="1" t="s">
        <v>1243</v>
      </c>
      <c r="L152" s="18" t="s">
        <v>725</v>
      </c>
    </row>
    <row r="153" spans="1:12" x14ac:dyDescent="0.25">
      <c r="L153" s="18" t="s">
        <v>737</v>
      </c>
    </row>
    <row r="154" spans="1:12" x14ac:dyDescent="0.25">
      <c r="A154" s="1" t="s">
        <v>1239</v>
      </c>
      <c r="B154" s="1">
        <v>8</v>
      </c>
      <c r="D154" s="18" t="s">
        <v>722</v>
      </c>
      <c r="L154" s="18" t="s">
        <v>1001</v>
      </c>
    </row>
    <row r="155" spans="1:12" x14ac:dyDescent="0.25">
      <c r="A155" s="1" t="s">
        <v>206</v>
      </c>
      <c r="B155" s="1">
        <v>8</v>
      </c>
      <c r="D155" s="1" t="s">
        <v>1241</v>
      </c>
      <c r="L155" s="18" t="s">
        <v>1002</v>
      </c>
    </row>
    <row r="156" spans="1:12" x14ac:dyDescent="0.25">
      <c r="L156" s="18"/>
    </row>
    <row r="157" spans="1:12" x14ac:dyDescent="0.25">
      <c r="A157" s="1" t="s">
        <v>1246</v>
      </c>
      <c r="B157" s="1">
        <v>2</v>
      </c>
      <c r="D157" s="27" t="s">
        <v>587</v>
      </c>
    </row>
    <row r="158" spans="1:12" x14ac:dyDescent="0.25">
      <c r="A158" s="1" t="s">
        <v>1245</v>
      </c>
      <c r="B158" s="1">
        <v>3</v>
      </c>
      <c r="D158" s="27" t="s">
        <v>587</v>
      </c>
      <c r="L158" s="18" t="s">
        <v>738</v>
      </c>
    </row>
    <row r="159" spans="1:12" x14ac:dyDescent="0.25">
      <c r="A159" s="1" t="s">
        <v>1244</v>
      </c>
      <c r="B159" s="1">
        <v>6</v>
      </c>
      <c r="D159" s="27" t="s">
        <v>587</v>
      </c>
    </row>
    <row r="160" spans="1:12" x14ac:dyDescent="0.25">
      <c r="L160" s="18"/>
    </row>
    <row r="161" spans="1:12" x14ac:dyDescent="0.25">
      <c r="A161" s="1" t="s">
        <v>1249</v>
      </c>
      <c r="B161" s="1">
        <v>6</v>
      </c>
      <c r="D161" s="1" t="s">
        <v>591</v>
      </c>
      <c r="L161" s="18"/>
    </row>
    <row r="162" spans="1:12" x14ac:dyDescent="0.25">
      <c r="L162" s="18"/>
    </row>
    <row r="163" spans="1:12" x14ac:dyDescent="0.25">
      <c r="A163" s="1" t="s">
        <v>1250</v>
      </c>
      <c r="B163" s="1">
        <v>6</v>
      </c>
      <c r="D163" s="18" t="s">
        <v>1006</v>
      </c>
      <c r="L163" s="18"/>
    </row>
    <row r="164" spans="1:12" x14ac:dyDescent="0.25">
      <c r="A164" s="1" t="s">
        <v>1251</v>
      </c>
      <c r="B164" s="1">
        <v>7</v>
      </c>
      <c r="D164" s="18" t="s">
        <v>1003</v>
      </c>
    </row>
    <row r="165" spans="1:12" x14ac:dyDescent="0.25">
      <c r="A165" s="1" t="s">
        <v>1252</v>
      </c>
      <c r="B165" s="1">
        <v>7</v>
      </c>
      <c r="D165" s="18" t="s">
        <v>1006</v>
      </c>
    </row>
    <row r="166" spans="1:12" x14ac:dyDescent="0.25">
      <c r="A166" s="1" t="s">
        <v>1253</v>
      </c>
      <c r="B166" s="1">
        <v>8</v>
      </c>
      <c r="D166" s="18" t="s">
        <v>1006</v>
      </c>
    </row>
    <row r="168" spans="1:12" x14ac:dyDescent="0.25">
      <c r="L168" s="18"/>
    </row>
    <row r="170" spans="1:12" x14ac:dyDescent="0.25">
      <c r="L170" s="18"/>
    </row>
    <row r="171" spans="1:12" x14ac:dyDescent="0.25">
      <c r="L171" s="18"/>
    </row>
    <row r="172" spans="1:12" x14ac:dyDescent="0.25">
      <c r="L172" s="18"/>
    </row>
    <row r="173" spans="1:12" x14ac:dyDescent="0.25">
      <c r="L173" s="18"/>
    </row>
    <row r="174" spans="1:12" x14ac:dyDescent="0.25">
      <c r="L174" s="18"/>
    </row>
    <row r="175" spans="1:12" x14ac:dyDescent="0.25">
      <c r="L175" s="18"/>
    </row>
    <row r="176" spans="1:12" x14ac:dyDescent="0.25">
      <c r="L176" s="18"/>
    </row>
    <row r="177" spans="1:12" x14ac:dyDescent="0.25">
      <c r="L177" s="18"/>
    </row>
    <row r="178" spans="1:12" x14ac:dyDescent="0.25">
      <c r="L178" s="18"/>
    </row>
    <row r="180" spans="1:12" x14ac:dyDescent="0.25">
      <c r="L180" s="18"/>
    </row>
    <row r="181" spans="1:12" x14ac:dyDescent="0.25">
      <c r="L181" s="18"/>
    </row>
    <row r="182" spans="1:12" x14ac:dyDescent="0.25">
      <c r="L182" s="18"/>
    </row>
    <row r="183" spans="1:12" x14ac:dyDescent="0.25">
      <c r="A183" s="1" t="s">
        <v>1202</v>
      </c>
      <c r="B183" s="1">
        <v>0</v>
      </c>
      <c r="D183" s="18" t="s">
        <v>410</v>
      </c>
      <c r="L183" s="18"/>
    </row>
    <row r="184" spans="1:12" x14ac:dyDescent="0.25">
      <c r="A184" s="1" t="s">
        <v>1204</v>
      </c>
      <c r="B184" s="1">
        <v>1</v>
      </c>
      <c r="D184" s="18" t="s">
        <v>410</v>
      </c>
      <c r="L184" s="18"/>
    </row>
    <row r="185" spans="1:12" x14ac:dyDescent="0.25">
      <c r="A185" s="1" t="s">
        <v>1206</v>
      </c>
      <c r="B185" s="1">
        <v>1</v>
      </c>
      <c r="D185" s="18" t="s">
        <v>395</v>
      </c>
    </row>
    <row r="186" spans="1:12" x14ac:dyDescent="0.25">
      <c r="A186" s="1" t="s">
        <v>1231</v>
      </c>
      <c r="B186" s="1">
        <v>1</v>
      </c>
      <c r="D186" s="18" t="s">
        <v>391</v>
      </c>
    </row>
    <row r="187" spans="1:12" x14ac:dyDescent="0.25">
      <c r="A187" s="1" t="s">
        <v>1210</v>
      </c>
      <c r="B187" s="1">
        <v>1</v>
      </c>
      <c r="D187" s="18" t="s">
        <v>1193</v>
      </c>
    </row>
    <row r="188" spans="1:12" x14ac:dyDescent="0.25">
      <c r="A188" s="1" t="s">
        <v>1217</v>
      </c>
      <c r="B188" s="1">
        <v>1</v>
      </c>
      <c r="D188" s="1" t="s">
        <v>1022</v>
      </c>
    </row>
    <row r="189" spans="1:12" x14ac:dyDescent="0.25">
      <c r="A189" s="1" t="s">
        <v>1207</v>
      </c>
      <c r="B189" s="1">
        <v>2</v>
      </c>
      <c r="D189" s="18" t="s">
        <v>1135</v>
      </c>
    </row>
    <row r="190" spans="1:12" x14ac:dyDescent="0.25">
      <c r="A190" s="1" t="s">
        <v>1216</v>
      </c>
      <c r="B190" s="1">
        <v>2</v>
      </c>
      <c r="D190" s="18" t="s">
        <v>957</v>
      </c>
    </row>
    <row r="191" spans="1:12" x14ac:dyDescent="0.25">
      <c r="A191" s="1" t="s">
        <v>1246</v>
      </c>
      <c r="B191" s="1">
        <v>2</v>
      </c>
      <c r="D191" s="27" t="s">
        <v>587</v>
      </c>
    </row>
    <row r="192" spans="1:12" x14ac:dyDescent="0.25">
      <c r="A192" s="1" t="s">
        <v>1203</v>
      </c>
      <c r="B192" s="1">
        <v>3</v>
      </c>
      <c r="D192" s="18" t="s">
        <v>386</v>
      </c>
    </row>
    <row r="193" spans="1:4" x14ac:dyDescent="0.25">
      <c r="A193" s="1" t="s">
        <v>1205</v>
      </c>
      <c r="B193" s="1">
        <v>3</v>
      </c>
      <c r="D193" s="18" t="s">
        <v>395</v>
      </c>
    </row>
    <row r="194" spans="1:4" x14ac:dyDescent="0.25">
      <c r="A194" s="1" t="s">
        <v>1223</v>
      </c>
      <c r="B194" s="1">
        <v>3</v>
      </c>
      <c r="D194" s="18" t="s">
        <v>402</v>
      </c>
    </row>
    <row r="195" spans="1:4" x14ac:dyDescent="0.25">
      <c r="A195" s="1" t="s">
        <v>1245</v>
      </c>
      <c r="B195" s="1">
        <v>3</v>
      </c>
      <c r="D195" s="27" t="s">
        <v>587</v>
      </c>
    </row>
    <row r="196" spans="1:4" x14ac:dyDescent="0.25">
      <c r="A196" s="1" t="s">
        <v>1208</v>
      </c>
      <c r="B196" s="1">
        <v>4</v>
      </c>
      <c r="D196" s="18" t="s">
        <v>391</v>
      </c>
    </row>
    <row r="197" spans="1:4" x14ac:dyDescent="0.25">
      <c r="A197" s="1" t="s">
        <v>1209</v>
      </c>
      <c r="B197" s="1">
        <v>4</v>
      </c>
      <c r="D197" s="18" t="s">
        <v>1135</v>
      </c>
    </row>
    <row r="198" spans="1:4" x14ac:dyDescent="0.25">
      <c r="A198" s="1" t="s">
        <v>1212</v>
      </c>
      <c r="B198" s="1">
        <v>4</v>
      </c>
      <c r="D198" s="18" t="s">
        <v>1193</v>
      </c>
    </row>
    <row r="199" spans="1:4" x14ac:dyDescent="0.25">
      <c r="A199" s="1" t="s">
        <v>1218</v>
      </c>
      <c r="B199" s="1">
        <v>4</v>
      </c>
      <c r="D199" s="1" t="s">
        <v>1022</v>
      </c>
    </row>
    <row r="200" spans="1:4" x14ac:dyDescent="0.25">
      <c r="A200" s="1" t="s">
        <v>1211</v>
      </c>
      <c r="B200" s="1">
        <v>5</v>
      </c>
      <c r="D200" s="18" t="s">
        <v>410</v>
      </c>
    </row>
    <row r="201" spans="1:4" x14ac:dyDescent="0.25">
      <c r="A201" s="1" t="s">
        <v>1224</v>
      </c>
      <c r="B201" s="1">
        <v>5</v>
      </c>
      <c r="D201" s="18" t="s">
        <v>402</v>
      </c>
    </row>
    <row r="202" spans="1:4" x14ac:dyDescent="0.25">
      <c r="A202" s="1" t="s">
        <v>1225</v>
      </c>
      <c r="B202" s="1">
        <v>5</v>
      </c>
      <c r="D202" s="18" t="s">
        <v>403</v>
      </c>
    </row>
    <row r="203" spans="1:4" x14ac:dyDescent="0.25">
      <c r="A203" s="1" t="s">
        <v>1233</v>
      </c>
      <c r="B203" s="1">
        <v>5</v>
      </c>
      <c r="D203" s="18" t="s">
        <v>979</v>
      </c>
    </row>
    <row r="204" spans="1:4" x14ac:dyDescent="0.25">
      <c r="A204" s="1" t="s">
        <v>1235</v>
      </c>
      <c r="B204" s="1">
        <v>5</v>
      </c>
      <c r="D204" s="18" t="s">
        <v>1016</v>
      </c>
    </row>
    <row r="205" spans="1:4" x14ac:dyDescent="0.25">
      <c r="A205" s="1" t="s">
        <v>1236</v>
      </c>
      <c r="B205" s="1">
        <v>5</v>
      </c>
      <c r="D205" s="1" t="s">
        <v>1241</v>
      </c>
    </row>
    <row r="206" spans="1:4" x14ac:dyDescent="0.25">
      <c r="A206" s="1" t="s">
        <v>1220</v>
      </c>
      <c r="B206" s="1">
        <v>6</v>
      </c>
      <c r="D206" s="18" t="s">
        <v>410</v>
      </c>
    </row>
    <row r="207" spans="1:4" x14ac:dyDescent="0.25">
      <c r="A207" s="1" t="s">
        <v>1213</v>
      </c>
      <c r="B207" s="1">
        <v>6</v>
      </c>
      <c r="D207" s="18" t="s">
        <v>1193</v>
      </c>
    </row>
    <row r="208" spans="1:4" x14ac:dyDescent="0.25">
      <c r="A208" s="1" t="s">
        <v>1219</v>
      </c>
      <c r="B208" s="1">
        <v>6</v>
      </c>
      <c r="D208" s="1" t="s">
        <v>1022</v>
      </c>
    </row>
    <row r="209" spans="1:4" x14ac:dyDescent="0.25">
      <c r="A209" s="1" t="s">
        <v>1221</v>
      </c>
      <c r="B209" s="1">
        <v>6</v>
      </c>
      <c r="D209" s="18" t="s">
        <v>404</v>
      </c>
    </row>
    <row r="210" spans="1:4" x14ac:dyDescent="0.25">
      <c r="A210" s="1" t="s">
        <v>1222</v>
      </c>
      <c r="B210" s="1">
        <v>6</v>
      </c>
      <c r="D210" s="18" t="s">
        <v>402</v>
      </c>
    </row>
    <row r="211" spans="1:4" x14ac:dyDescent="0.25">
      <c r="A211" s="1" t="s">
        <v>1226</v>
      </c>
      <c r="B211" s="1">
        <v>6</v>
      </c>
      <c r="D211" s="18" t="s">
        <v>403</v>
      </c>
    </row>
    <row r="212" spans="1:4" x14ac:dyDescent="0.25">
      <c r="A212" s="1" t="s">
        <v>1230</v>
      </c>
      <c r="B212" s="1">
        <v>6</v>
      </c>
      <c r="D212" s="18" t="s">
        <v>392</v>
      </c>
    </row>
    <row r="213" spans="1:4" x14ac:dyDescent="0.25">
      <c r="A213" s="1" t="s">
        <v>1234</v>
      </c>
      <c r="B213" s="1">
        <v>6</v>
      </c>
      <c r="D213" s="18" t="s">
        <v>1013</v>
      </c>
    </row>
    <row r="214" spans="1:4" x14ac:dyDescent="0.25">
      <c r="A214" s="1" t="s">
        <v>1237</v>
      </c>
      <c r="B214" s="1">
        <v>6</v>
      </c>
      <c r="D214" s="1" t="s">
        <v>1241</v>
      </c>
    </row>
    <row r="215" spans="1:4" x14ac:dyDescent="0.25">
      <c r="A215" s="1" t="s">
        <v>1244</v>
      </c>
      <c r="B215" s="1">
        <v>6</v>
      </c>
      <c r="D215" s="27" t="s">
        <v>587</v>
      </c>
    </row>
    <row r="216" spans="1:4" x14ac:dyDescent="0.25">
      <c r="A216" s="1" t="s">
        <v>1249</v>
      </c>
      <c r="B216" s="1">
        <v>6</v>
      </c>
      <c r="D216" s="1" t="s">
        <v>591</v>
      </c>
    </row>
    <row r="217" spans="1:4" x14ac:dyDescent="0.25">
      <c r="A217" s="1" t="s">
        <v>1250</v>
      </c>
      <c r="B217" s="1">
        <v>6</v>
      </c>
      <c r="D217" s="18" t="s">
        <v>1006</v>
      </c>
    </row>
    <row r="218" spans="1:4" x14ac:dyDescent="0.25">
      <c r="A218" s="1" t="s">
        <v>1215</v>
      </c>
      <c r="B218" s="1">
        <v>7</v>
      </c>
      <c r="D218" s="1" t="s">
        <v>893</v>
      </c>
    </row>
    <row r="219" spans="1:4" x14ac:dyDescent="0.25">
      <c r="A219" s="1" t="s">
        <v>1228</v>
      </c>
      <c r="B219" s="1">
        <v>7</v>
      </c>
      <c r="D219" s="18" t="s">
        <v>411</v>
      </c>
    </row>
    <row r="220" spans="1:4" x14ac:dyDescent="0.25">
      <c r="A220" s="1" t="s">
        <v>1232</v>
      </c>
      <c r="B220" s="1">
        <v>7</v>
      </c>
      <c r="D220" s="18" t="s">
        <v>979</v>
      </c>
    </row>
    <row r="221" spans="1:4" x14ac:dyDescent="0.25">
      <c r="A221" s="1" t="s">
        <v>1238</v>
      </c>
      <c r="B221" s="1">
        <v>7</v>
      </c>
      <c r="D221" s="18" t="s">
        <v>705</v>
      </c>
    </row>
    <row r="222" spans="1:4" x14ac:dyDescent="0.25">
      <c r="A222" s="1" t="s">
        <v>1240</v>
      </c>
      <c r="B222" s="1">
        <v>7</v>
      </c>
      <c r="D222" s="18" t="s">
        <v>722</v>
      </c>
    </row>
    <row r="223" spans="1:4" x14ac:dyDescent="0.25">
      <c r="A223" s="1" t="s">
        <v>1242</v>
      </c>
      <c r="B223" s="1">
        <v>7</v>
      </c>
      <c r="D223" s="1" t="s">
        <v>1243</v>
      </c>
    </row>
    <row r="224" spans="1:4" x14ac:dyDescent="0.25">
      <c r="A224" s="1" t="s">
        <v>1251</v>
      </c>
      <c r="B224" s="1">
        <v>7</v>
      </c>
      <c r="D224" s="18" t="s">
        <v>1003</v>
      </c>
    </row>
    <row r="225" spans="1:4" x14ac:dyDescent="0.25">
      <c r="A225" s="1" t="s">
        <v>1252</v>
      </c>
      <c r="B225" s="1">
        <v>7</v>
      </c>
      <c r="D225" s="18" t="s">
        <v>1006</v>
      </c>
    </row>
    <row r="226" spans="1:4" x14ac:dyDescent="0.25">
      <c r="A226" s="1" t="s">
        <v>1248</v>
      </c>
      <c r="B226" s="1">
        <v>8</v>
      </c>
      <c r="D226" s="18" t="s">
        <v>1188</v>
      </c>
    </row>
    <row r="227" spans="1:4" x14ac:dyDescent="0.25">
      <c r="A227" s="1" t="s">
        <v>1247</v>
      </c>
      <c r="B227" s="1">
        <v>8</v>
      </c>
      <c r="D227" s="18" t="s">
        <v>404</v>
      </c>
    </row>
    <row r="228" spans="1:4" x14ac:dyDescent="0.25">
      <c r="A228" s="1" t="s">
        <v>1227</v>
      </c>
      <c r="B228" s="1">
        <v>8</v>
      </c>
      <c r="D228" s="18" t="s">
        <v>403</v>
      </c>
    </row>
    <row r="229" spans="1:4" x14ac:dyDescent="0.25">
      <c r="A229" s="1" t="s">
        <v>1239</v>
      </c>
      <c r="B229" s="1">
        <v>8</v>
      </c>
      <c r="D229" s="18" t="s">
        <v>722</v>
      </c>
    </row>
    <row r="230" spans="1:4" x14ac:dyDescent="0.25">
      <c r="A230" s="1" t="s">
        <v>206</v>
      </c>
      <c r="B230" s="1">
        <v>8</v>
      </c>
      <c r="D230" s="1" t="s">
        <v>1241</v>
      </c>
    </row>
    <row r="231" spans="1:4" x14ac:dyDescent="0.25">
      <c r="A231" s="1" t="s">
        <v>1253</v>
      </c>
      <c r="B231" s="1">
        <v>8</v>
      </c>
      <c r="D231" s="18" t="s">
        <v>1006</v>
      </c>
    </row>
    <row r="232" spans="1:4" x14ac:dyDescent="0.25">
      <c r="A232" s="1" t="s">
        <v>1229</v>
      </c>
      <c r="B232" s="1">
        <v>9</v>
      </c>
      <c r="D232" s="18" t="s">
        <v>411</v>
      </c>
    </row>
    <row r="240" spans="1:4" x14ac:dyDescent="0.25">
      <c r="A240" s="1" t="s">
        <v>1214</v>
      </c>
      <c r="D240" s="1" t="s">
        <v>891</v>
      </c>
    </row>
    <row r="249" spans="4:4" x14ac:dyDescent="0.25">
      <c r="D249" s="18"/>
    </row>
    <row r="250" spans="4:4" x14ac:dyDescent="0.25">
      <c r="D250" s="18"/>
    </row>
  </sheetData>
  <autoFilter ref="A182:D257" xr:uid="{E8C953A2-E348-45BD-94BB-9853905028F2}">
    <sortState xmlns:xlrd2="http://schemas.microsoft.com/office/spreadsheetml/2017/richdata2" ref="A183:D257">
      <sortCondition ref="B182:B257"/>
    </sortState>
  </autoFilter>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86F81-7F57-40AE-8939-5BABDAC71F1F}">
  <dimension ref="A1:S30"/>
  <sheetViews>
    <sheetView topLeftCell="A10" workbookViewId="0"/>
  </sheetViews>
  <sheetFormatPr baseColWidth="10" defaultColWidth="16.42578125" defaultRowHeight="15" x14ac:dyDescent="0.25"/>
  <cols>
    <col min="1" max="1" width="16.42578125" style="7"/>
    <col min="2" max="2" width="16.42578125" style="5"/>
    <col min="3" max="3" width="16.42578125" style="4"/>
    <col min="4" max="4" width="16.42578125" style="6"/>
    <col min="5" max="5" width="16.42578125" style="5"/>
    <col min="6" max="7" width="16.42578125" style="4"/>
    <col min="8" max="8" width="16.42578125" style="5"/>
    <col min="9" max="9" width="16.42578125" style="4"/>
    <col min="10" max="10" width="16.42578125" style="6"/>
    <col min="11" max="12" width="16.42578125" style="4"/>
    <col min="13" max="13" width="16.42578125" style="6"/>
    <col min="14" max="14" width="16.42578125" style="5"/>
    <col min="15" max="15" width="16.42578125" style="4"/>
    <col min="16" max="16" width="16.42578125" style="6"/>
    <col min="17" max="16384" width="16.42578125" style="4"/>
  </cols>
  <sheetData>
    <row r="1" spans="1:19" s="9" customFormat="1" ht="31.5" x14ac:dyDescent="0.25">
      <c r="A1" s="8"/>
      <c r="B1" s="174" t="s">
        <v>104</v>
      </c>
      <c r="C1" s="175"/>
      <c r="D1" s="176"/>
      <c r="E1" s="174" t="s">
        <v>105</v>
      </c>
      <c r="F1" s="175"/>
      <c r="G1" s="176"/>
      <c r="H1" s="174" t="s">
        <v>106</v>
      </c>
      <c r="I1" s="175"/>
      <c r="J1" s="176"/>
      <c r="K1" s="174" t="s">
        <v>107</v>
      </c>
      <c r="L1" s="175"/>
      <c r="M1" s="176"/>
      <c r="N1" s="174" t="s">
        <v>108</v>
      </c>
      <c r="O1" s="175"/>
      <c r="P1" s="176"/>
      <c r="Q1" s="173"/>
      <c r="R1" s="173"/>
      <c r="S1" s="173"/>
    </row>
    <row r="2" spans="1:19" x14ac:dyDescent="0.25">
      <c r="C2" s="4" t="s">
        <v>298</v>
      </c>
      <c r="F2" s="4" t="s">
        <v>299</v>
      </c>
      <c r="I2" s="4" t="s">
        <v>301</v>
      </c>
      <c r="L2" s="4" t="s">
        <v>300</v>
      </c>
    </row>
    <row r="5" spans="1:19" ht="30" x14ac:dyDescent="0.25">
      <c r="F5" s="4" t="s">
        <v>119</v>
      </c>
      <c r="H5" s="5" t="s">
        <v>120</v>
      </c>
    </row>
    <row r="6" spans="1:19" ht="30" x14ac:dyDescent="0.25">
      <c r="C6" s="4" t="s">
        <v>110</v>
      </c>
      <c r="D6" s="4" t="s">
        <v>109</v>
      </c>
      <c r="E6" s="5" t="s">
        <v>117</v>
      </c>
      <c r="G6" s="4" t="s">
        <v>111</v>
      </c>
      <c r="I6" s="4" t="s">
        <v>114</v>
      </c>
    </row>
    <row r="8" spans="1:19" ht="30" x14ac:dyDescent="0.25">
      <c r="G8" s="4" t="s">
        <v>112</v>
      </c>
      <c r="J8" s="6" t="s">
        <v>113</v>
      </c>
      <c r="M8" s="6" t="s">
        <v>131</v>
      </c>
    </row>
    <row r="13" spans="1:19" ht="30" x14ac:dyDescent="0.25">
      <c r="D13" s="6" t="s">
        <v>121</v>
      </c>
      <c r="F13" s="4" t="s">
        <v>122</v>
      </c>
      <c r="I13" s="4" t="s">
        <v>118</v>
      </c>
      <c r="K13" s="4" t="s">
        <v>123</v>
      </c>
      <c r="L13" s="4" t="s">
        <v>124</v>
      </c>
      <c r="O13" s="4" t="s">
        <v>132</v>
      </c>
    </row>
    <row r="15" spans="1:19" x14ac:dyDescent="0.25">
      <c r="B15" s="5" t="s">
        <v>115</v>
      </c>
      <c r="C15" s="4" t="s">
        <v>116</v>
      </c>
      <c r="D15" s="4"/>
      <c r="J15" s="6" t="s">
        <v>133</v>
      </c>
    </row>
    <row r="17" spans="1:14" x14ac:dyDescent="0.25">
      <c r="E17" s="5" t="s">
        <v>127</v>
      </c>
      <c r="H17" s="5" t="s">
        <v>128</v>
      </c>
      <c r="K17" s="4" t="s">
        <v>129</v>
      </c>
      <c r="N17" s="4" t="s">
        <v>130</v>
      </c>
    </row>
    <row r="19" spans="1:14" x14ac:dyDescent="0.25">
      <c r="F19" s="4" t="s">
        <v>125</v>
      </c>
      <c r="I19" s="4" t="s">
        <v>126</v>
      </c>
    </row>
    <row r="20" spans="1:14" x14ac:dyDescent="0.25">
      <c r="A20" s="4"/>
    </row>
    <row r="21" spans="1:14" x14ac:dyDescent="0.25">
      <c r="A21" s="4"/>
    </row>
    <row r="22" spans="1:14" x14ac:dyDescent="0.25">
      <c r="A22" s="4"/>
    </row>
    <row r="23" spans="1:14" ht="45" x14ac:dyDescent="0.25">
      <c r="A23" s="4"/>
      <c r="D23" s="6" t="s">
        <v>136</v>
      </c>
      <c r="F23" s="4" t="s">
        <v>134</v>
      </c>
      <c r="I23" s="4" t="s">
        <v>258</v>
      </c>
      <c r="L23" s="4" t="s">
        <v>135</v>
      </c>
    </row>
    <row r="24" spans="1:14" x14ac:dyDescent="0.25">
      <c r="A24" s="4"/>
    </row>
    <row r="27" spans="1:14" ht="30" x14ac:dyDescent="0.25">
      <c r="G27" s="4" t="s">
        <v>137</v>
      </c>
      <c r="J27" s="6" t="s">
        <v>138</v>
      </c>
      <c r="M27" s="6" t="s">
        <v>139</v>
      </c>
    </row>
    <row r="30" spans="1:14" ht="30" x14ac:dyDescent="0.25">
      <c r="G30" s="4" t="s">
        <v>85</v>
      </c>
      <c r="J30" s="6" t="s">
        <v>84</v>
      </c>
    </row>
  </sheetData>
  <mergeCells count="6">
    <mergeCell ref="Q1:S1"/>
    <mergeCell ref="B1:D1"/>
    <mergeCell ref="E1:G1"/>
    <mergeCell ref="H1:J1"/>
    <mergeCell ref="K1:M1"/>
    <mergeCell ref="N1:P1"/>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CCB9-6BC1-466B-9FA9-DB5D5BC9B97C}">
  <dimension ref="A1:G70"/>
  <sheetViews>
    <sheetView tabSelected="1" topLeftCell="A22" workbookViewId="0">
      <selection activeCell="A36" sqref="A36"/>
    </sheetView>
  </sheetViews>
  <sheetFormatPr baseColWidth="10" defaultColWidth="53.140625" defaultRowHeight="15" x14ac:dyDescent="0.25"/>
  <cols>
    <col min="1" max="5" width="53.140625" style="16"/>
    <col min="6" max="16384" width="53.140625" style="15"/>
  </cols>
  <sheetData>
    <row r="1" spans="1:7" ht="33.75" x14ac:dyDescent="0.5">
      <c r="A1" s="14" t="s">
        <v>104</v>
      </c>
      <c r="B1" s="14" t="s">
        <v>105</v>
      </c>
      <c r="C1" s="14" t="s">
        <v>106</v>
      </c>
      <c r="D1" s="14" t="s">
        <v>107</v>
      </c>
      <c r="E1" s="14" t="s">
        <v>108</v>
      </c>
      <c r="F1" s="13"/>
      <c r="G1" s="13"/>
    </row>
    <row r="6" spans="1:7" x14ac:dyDescent="0.25">
      <c r="A6" s="16" t="s">
        <v>302</v>
      </c>
      <c r="B6" s="15" t="s">
        <v>307</v>
      </c>
      <c r="C6" s="16" t="s">
        <v>311</v>
      </c>
      <c r="D6" s="16" t="s">
        <v>308</v>
      </c>
      <c r="E6" s="16" t="s">
        <v>309</v>
      </c>
    </row>
    <row r="7" spans="1:7" x14ac:dyDescent="0.25">
      <c r="B7" s="15"/>
    </row>
    <row r="8" spans="1:7" x14ac:dyDescent="0.25">
      <c r="A8" s="16" t="s">
        <v>306</v>
      </c>
      <c r="B8" s="16" t="s">
        <v>305</v>
      </c>
      <c r="D8" s="16" t="s">
        <v>310</v>
      </c>
    </row>
    <row r="9" spans="1:7" x14ac:dyDescent="0.25">
      <c r="A9" s="15"/>
    </row>
    <row r="10" spans="1:7" x14ac:dyDescent="0.25">
      <c r="A10" s="16" t="s">
        <v>303</v>
      </c>
      <c r="B10" s="15" t="s">
        <v>312</v>
      </c>
    </row>
    <row r="12" spans="1:7" x14ac:dyDescent="0.25">
      <c r="A12" s="16" t="s">
        <v>304</v>
      </c>
    </row>
    <row r="22" spans="1:5" x14ac:dyDescent="0.25">
      <c r="A22" s="15"/>
    </row>
    <row r="23" spans="1:5" x14ac:dyDescent="0.25">
      <c r="A23" s="15" t="s">
        <v>315</v>
      </c>
      <c r="B23" s="16" t="s">
        <v>313</v>
      </c>
      <c r="C23" s="16" t="s">
        <v>316</v>
      </c>
      <c r="D23" s="16" t="s">
        <v>345</v>
      </c>
    </row>
    <row r="24" spans="1:5" x14ac:dyDescent="0.25">
      <c r="B24" s="16" t="s">
        <v>314</v>
      </c>
    </row>
    <row r="26" spans="1:5" s="163" customFormat="1" x14ac:dyDescent="0.25">
      <c r="A26" s="162"/>
      <c r="B26" s="162"/>
      <c r="C26" s="162"/>
      <c r="D26" s="162"/>
      <c r="E26" s="162"/>
    </row>
    <row r="28" spans="1:5" x14ac:dyDescent="0.25">
      <c r="A28" s="16" t="s">
        <v>317</v>
      </c>
    </row>
    <row r="30" spans="1:5" x14ac:dyDescent="0.25">
      <c r="A30" s="16" t="s">
        <v>487</v>
      </c>
      <c r="B30" s="16" t="s">
        <v>489</v>
      </c>
      <c r="C30" s="16" t="s">
        <v>490</v>
      </c>
    </row>
    <row r="31" spans="1:5" x14ac:dyDescent="0.25">
      <c r="B31" s="20" t="s">
        <v>488</v>
      </c>
    </row>
    <row r="32" spans="1:5" x14ac:dyDescent="0.25">
      <c r="B32" s="16" t="s">
        <v>318</v>
      </c>
    </row>
    <row r="34" spans="1:5" s="163" customFormat="1" x14ac:dyDescent="0.25">
      <c r="A34" s="162"/>
      <c r="B34" s="162"/>
      <c r="C34" s="162"/>
      <c r="D34" s="162"/>
      <c r="E34" s="162"/>
    </row>
    <row r="36" spans="1:5" x14ac:dyDescent="0.25">
      <c r="A36" s="16" t="s">
        <v>1587</v>
      </c>
      <c r="B36" s="16" t="s">
        <v>1603</v>
      </c>
    </row>
    <row r="39" spans="1:5" x14ac:dyDescent="0.25">
      <c r="A39" s="16" t="s">
        <v>1588</v>
      </c>
      <c r="B39" s="16" t="s">
        <v>1597</v>
      </c>
    </row>
    <row r="40" spans="1:5" x14ac:dyDescent="0.25">
      <c r="A40" s="16" t="s">
        <v>1589</v>
      </c>
      <c r="B40" s="16" t="s">
        <v>1598</v>
      </c>
    </row>
    <row r="41" spans="1:5" x14ac:dyDescent="0.25">
      <c r="A41" s="16" t="s">
        <v>1590</v>
      </c>
      <c r="B41" s="16" t="s">
        <v>1599</v>
      </c>
    </row>
    <row r="44" spans="1:5" x14ac:dyDescent="0.25">
      <c r="A44" s="16" t="s">
        <v>1593</v>
      </c>
      <c r="B44" s="16" t="s">
        <v>1607</v>
      </c>
    </row>
    <row r="45" spans="1:5" x14ac:dyDescent="0.25">
      <c r="A45" s="16" t="s">
        <v>1591</v>
      </c>
      <c r="B45" s="16" t="s">
        <v>1608</v>
      </c>
    </row>
    <row r="46" spans="1:5" x14ac:dyDescent="0.25">
      <c r="A46" s="16" t="s">
        <v>1592</v>
      </c>
      <c r="B46" s="16" t="s">
        <v>1609</v>
      </c>
    </row>
    <row r="49" spans="1:1" x14ac:dyDescent="0.25">
      <c r="A49" s="16" t="s">
        <v>1594</v>
      </c>
    </row>
    <row r="50" spans="1:1" x14ac:dyDescent="0.25">
      <c r="A50" s="16" t="s">
        <v>1595</v>
      </c>
    </row>
    <row r="51" spans="1:1" x14ac:dyDescent="0.25">
      <c r="A51" s="16" t="s">
        <v>1596</v>
      </c>
    </row>
    <row r="54" spans="1:1" x14ac:dyDescent="0.25">
      <c r="A54" s="16" t="s">
        <v>1612</v>
      </c>
    </row>
    <row r="55" spans="1:1" x14ac:dyDescent="0.25">
      <c r="A55" s="16" t="s">
        <v>1614</v>
      </c>
    </row>
    <row r="56" spans="1:1" x14ac:dyDescent="0.25">
      <c r="A56" s="16" t="s">
        <v>1613</v>
      </c>
    </row>
    <row r="59" spans="1:1" x14ac:dyDescent="0.25">
      <c r="A59" s="16" t="s">
        <v>1600</v>
      </c>
    </row>
    <row r="60" spans="1:1" x14ac:dyDescent="0.25">
      <c r="A60" s="16" t="s">
        <v>1601</v>
      </c>
    </row>
    <row r="61" spans="1:1" x14ac:dyDescent="0.25">
      <c r="A61" s="16" t="s">
        <v>1602</v>
      </c>
    </row>
    <row r="64" spans="1:1" x14ac:dyDescent="0.25">
      <c r="A64" s="16" t="s">
        <v>1604</v>
      </c>
    </row>
    <row r="65" spans="1:1" x14ac:dyDescent="0.25">
      <c r="A65" s="16" t="s">
        <v>1606</v>
      </c>
    </row>
    <row r="66" spans="1:1" x14ac:dyDescent="0.25">
      <c r="A66" s="16" t="s">
        <v>1605</v>
      </c>
    </row>
    <row r="69" spans="1:1" x14ac:dyDescent="0.25">
      <c r="A69" s="16" t="s">
        <v>1610</v>
      </c>
    </row>
    <row r="70" spans="1:1" x14ac:dyDescent="0.25">
      <c r="A70" s="16" t="s">
        <v>1611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23A4E-CCD2-4FF7-9D4F-85F20DA5AE48}">
  <dimension ref="B1:L58"/>
  <sheetViews>
    <sheetView workbookViewId="0">
      <selection activeCell="B3" sqref="B3:C18"/>
    </sheetView>
  </sheetViews>
  <sheetFormatPr baseColWidth="10" defaultColWidth="14.28515625" defaultRowHeight="15" x14ac:dyDescent="0.25"/>
  <cols>
    <col min="1" max="1" width="14.28515625" style="46"/>
    <col min="2" max="2" width="6.140625" style="46" customWidth="1"/>
    <col min="3" max="3" width="22.7109375" style="46" customWidth="1"/>
    <col min="4" max="4" width="14.28515625" style="46"/>
    <col min="5" max="5" width="14.28515625" style="48"/>
    <col min="6" max="7" width="14.28515625" style="46"/>
    <col min="8" max="8" width="7.7109375" style="46" customWidth="1"/>
    <col min="9" max="9" width="22.7109375" style="46" customWidth="1"/>
    <col min="10" max="12" width="14.28515625" style="46"/>
    <col min="13" max="13" width="8.5703125" style="46" customWidth="1"/>
    <col min="14" max="14" width="30.5703125" style="46" customWidth="1"/>
    <col min="15" max="16384" width="14.28515625" style="46"/>
  </cols>
  <sheetData>
    <row r="1" spans="2:12" x14ac:dyDescent="0.25">
      <c r="E1" s="46"/>
    </row>
    <row r="2" spans="2:12" x14ac:dyDescent="0.25">
      <c r="E2" s="48" t="s">
        <v>1151</v>
      </c>
    </row>
    <row r="3" spans="2:12" ht="30" x14ac:dyDescent="0.4">
      <c r="B3" s="47" t="s">
        <v>1136</v>
      </c>
      <c r="C3" s="47" t="s">
        <v>903</v>
      </c>
      <c r="F3" s="46" t="s">
        <v>943</v>
      </c>
    </row>
    <row r="4" spans="2:12" ht="30" x14ac:dyDescent="0.4">
      <c r="B4" s="47" t="s">
        <v>919</v>
      </c>
      <c r="C4" s="47" t="s">
        <v>940</v>
      </c>
      <c r="E4" s="48" t="s">
        <v>948</v>
      </c>
      <c r="F4" s="46" t="s">
        <v>944</v>
      </c>
    </row>
    <row r="5" spans="2:12" ht="30" x14ac:dyDescent="0.4">
      <c r="B5" s="47" t="s">
        <v>920</v>
      </c>
      <c r="C5" s="47" t="s">
        <v>942</v>
      </c>
      <c r="E5" s="50" t="s">
        <v>1145</v>
      </c>
      <c r="F5" s="46" t="s">
        <v>945</v>
      </c>
      <c r="L5" s="47"/>
    </row>
    <row r="6" spans="2:12" ht="30" x14ac:dyDescent="0.4">
      <c r="B6" s="47" t="s">
        <v>921</v>
      </c>
      <c r="C6" s="47" t="s">
        <v>1147</v>
      </c>
      <c r="E6" s="58" t="s">
        <v>1146</v>
      </c>
      <c r="L6" s="47"/>
    </row>
    <row r="7" spans="2:12" ht="30" x14ac:dyDescent="0.4">
      <c r="B7" s="47" t="s">
        <v>922</v>
      </c>
      <c r="C7" s="47" t="s">
        <v>913</v>
      </c>
      <c r="E7" s="48" t="s">
        <v>950</v>
      </c>
      <c r="F7" s="46" t="s">
        <v>946</v>
      </c>
      <c r="L7" s="47"/>
    </row>
    <row r="8" spans="2:12" ht="30" x14ac:dyDescent="0.4">
      <c r="B8" s="47" t="s">
        <v>923</v>
      </c>
      <c r="C8" s="47" t="s">
        <v>29</v>
      </c>
      <c r="E8" s="48" t="s">
        <v>1144</v>
      </c>
      <c r="F8" s="46" t="s">
        <v>947</v>
      </c>
      <c r="L8" s="47"/>
    </row>
    <row r="9" spans="2:12" ht="30" x14ac:dyDescent="0.4">
      <c r="B9" s="47" t="s">
        <v>924</v>
      </c>
      <c r="C9" s="47" t="s">
        <v>1143</v>
      </c>
      <c r="E9" s="48" t="s">
        <v>1148</v>
      </c>
      <c r="L9" s="47"/>
    </row>
    <row r="10" spans="2:12" ht="30" x14ac:dyDescent="0.4">
      <c r="B10" s="47" t="s">
        <v>925</v>
      </c>
      <c r="C10" s="47" t="s">
        <v>1142</v>
      </c>
      <c r="E10" s="48" t="s">
        <v>1149</v>
      </c>
      <c r="L10" s="47"/>
    </row>
    <row r="11" spans="2:12" ht="30" x14ac:dyDescent="0.4">
      <c r="B11" s="47" t="s">
        <v>926</v>
      </c>
      <c r="C11" s="47" t="s">
        <v>914</v>
      </c>
      <c r="E11" s="48" t="s">
        <v>1150</v>
      </c>
      <c r="L11" s="47"/>
    </row>
    <row r="12" spans="2:12" ht="30" x14ac:dyDescent="0.4">
      <c r="B12" s="47" t="s">
        <v>927</v>
      </c>
      <c r="C12" s="47" t="s">
        <v>51</v>
      </c>
      <c r="E12" s="48" t="s">
        <v>1152</v>
      </c>
      <c r="L12" s="47"/>
    </row>
    <row r="13" spans="2:12" ht="30" x14ac:dyDescent="0.4">
      <c r="B13" s="47" t="s">
        <v>928</v>
      </c>
      <c r="C13" s="47" t="s">
        <v>915</v>
      </c>
      <c r="E13" s="48" t="s">
        <v>1153</v>
      </c>
      <c r="L13" s="47"/>
    </row>
    <row r="14" spans="2:12" ht="30" x14ac:dyDescent="0.4">
      <c r="B14" s="47" t="s">
        <v>1137</v>
      </c>
      <c r="C14" s="47" t="s">
        <v>916</v>
      </c>
      <c r="L14" s="47"/>
    </row>
    <row r="15" spans="2:12" ht="30" x14ac:dyDescent="0.4">
      <c r="B15" s="47" t="s">
        <v>1138</v>
      </c>
      <c r="C15" s="47" t="s">
        <v>917</v>
      </c>
      <c r="L15" s="47"/>
    </row>
    <row r="16" spans="2:12" ht="30" x14ac:dyDescent="0.4">
      <c r="B16" s="47" t="s">
        <v>1139</v>
      </c>
      <c r="C16" s="47" t="s">
        <v>991</v>
      </c>
      <c r="L16" s="47"/>
    </row>
    <row r="17" spans="2:12" ht="30" x14ac:dyDescent="0.4">
      <c r="B17" s="47" t="s">
        <v>1140</v>
      </c>
      <c r="C17" s="47" t="s">
        <v>918</v>
      </c>
      <c r="L17" s="47"/>
    </row>
    <row r="18" spans="2:12" ht="30" x14ac:dyDescent="0.4">
      <c r="B18" s="47" t="s">
        <v>1141</v>
      </c>
      <c r="C18" s="47" t="s">
        <v>1166</v>
      </c>
      <c r="L18" s="47"/>
    </row>
    <row r="19" spans="2:12" ht="30" x14ac:dyDescent="0.4">
      <c r="B19" s="47"/>
      <c r="C19" s="47"/>
      <c r="L19" s="47"/>
    </row>
    <row r="20" spans="2:12" ht="30" x14ac:dyDescent="0.4">
      <c r="B20" s="47"/>
      <c r="C20" s="47"/>
      <c r="L20" s="47"/>
    </row>
    <row r="21" spans="2:12" ht="30" x14ac:dyDescent="0.4">
      <c r="B21" s="47"/>
      <c r="C21" s="47"/>
      <c r="L21" s="47"/>
    </row>
    <row r="22" spans="2:12" ht="30" x14ac:dyDescent="0.4">
      <c r="B22" s="47"/>
      <c r="C22" s="47"/>
      <c r="L22" s="47"/>
    </row>
    <row r="25" spans="2:12" ht="30" x14ac:dyDescent="0.4">
      <c r="B25" s="47" t="s">
        <v>939</v>
      </c>
      <c r="C25" s="47" t="s">
        <v>903</v>
      </c>
      <c r="F25" s="46" t="s">
        <v>943</v>
      </c>
    </row>
    <row r="26" spans="2:12" ht="30" x14ac:dyDescent="0.4">
      <c r="B26" s="47" t="s">
        <v>938</v>
      </c>
      <c r="C26" s="47" t="s">
        <v>940</v>
      </c>
      <c r="E26" s="48" t="s">
        <v>948</v>
      </c>
      <c r="F26" s="46" t="s">
        <v>944</v>
      </c>
    </row>
    <row r="27" spans="2:12" ht="30" x14ac:dyDescent="0.4">
      <c r="B27" s="47" t="s">
        <v>937</v>
      </c>
      <c r="C27" s="47" t="s">
        <v>942</v>
      </c>
      <c r="E27" s="50" t="s">
        <v>949</v>
      </c>
      <c r="F27" s="46" t="s">
        <v>945</v>
      </c>
      <c r="L27" s="47"/>
    </row>
    <row r="28" spans="2:12" ht="30" x14ac:dyDescent="0.4">
      <c r="B28" s="47" t="s">
        <v>936</v>
      </c>
      <c r="C28" s="47" t="s">
        <v>913</v>
      </c>
      <c r="E28" s="48" t="s">
        <v>950</v>
      </c>
      <c r="F28" s="46" t="s">
        <v>946</v>
      </c>
      <c r="L28" s="47"/>
    </row>
    <row r="29" spans="2:12" ht="30" x14ac:dyDescent="0.4">
      <c r="B29" s="47" t="s">
        <v>935</v>
      </c>
      <c r="C29" s="47" t="s">
        <v>29</v>
      </c>
      <c r="E29" s="48" t="s">
        <v>951</v>
      </c>
      <c r="F29" s="46" t="s">
        <v>947</v>
      </c>
      <c r="L29" s="47"/>
    </row>
    <row r="30" spans="2:12" ht="30" x14ac:dyDescent="0.4">
      <c r="B30" s="47" t="s">
        <v>934</v>
      </c>
      <c r="C30" s="47" t="s">
        <v>914</v>
      </c>
      <c r="E30" s="48" t="s">
        <v>952</v>
      </c>
      <c r="L30" s="47"/>
    </row>
    <row r="31" spans="2:12" ht="30" x14ac:dyDescent="0.4">
      <c r="B31" s="47" t="s">
        <v>941</v>
      </c>
      <c r="C31" s="47" t="s">
        <v>51</v>
      </c>
      <c r="E31" s="48" t="s">
        <v>953</v>
      </c>
      <c r="L31" s="47"/>
    </row>
    <row r="32" spans="2:12" ht="30" x14ac:dyDescent="0.4">
      <c r="B32" s="47" t="s">
        <v>930</v>
      </c>
      <c r="C32" s="47" t="s">
        <v>915</v>
      </c>
      <c r="L32" s="47"/>
    </row>
    <row r="33" spans="2:12" ht="30" x14ac:dyDescent="0.4">
      <c r="B33" s="47" t="s">
        <v>929</v>
      </c>
      <c r="C33" s="47" t="s">
        <v>916</v>
      </c>
      <c r="L33" s="47"/>
    </row>
    <row r="34" spans="2:12" ht="30" x14ac:dyDescent="0.4">
      <c r="B34" s="47" t="s">
        <v>931</v>
      </c>
      <c r="C34" s="47" t="s">
        <v>917</v>
      </c>
      <c r="L34" s="47"/>
    </row>
    <row r="35" spans="2:12" ht="30" x14ac:dyDescent="0.4">
      <c r="B35" s="47" t="s">
        <v>932</v>
      </c>
      <c r="C35" s="47" t="s">
        <v>991</v>
      </c>
      <c r="L35" s="47"/>
    </row>
    <row r="36" spans="2:12" ht="30" x14ac:dyDescent="0.4">
      <c r="B36" s="47" t="s">
        <v>933</v>
      </c>
      <c r="C36" s="47" t="s">
        <v>918</v>
      </c>
      <c r="L36" s="47"/>
    </row>
    <row r="46" spans="2:12" ht="30" x14ac:dyDescent="0.4">
      <c r="B46" s="47" t="s">
        <v>902</v>
      </c>
      <c r="C46" s="47" t="s">
        <v>903</v>
      </c>
      <c r="D46" s="47"/>
      <c r="E46" s="49"/>
      <c r="F46" s="47"/>
      <c r="G46" s="47"/>
      <c r="H46" s="47" t="s">
        <v>919</v>
      </c>
      <c r="I46" s="47" t="s">
        <v>903</v>
      </c>
    </row>
    <row r="47" spans="2:12" ht="30" x14ac:dyDescent="0.4">
      <c r="B47" s="47" t="s">
        <v>904</v>
      </c>
      <c r="C47" s="47" t="s">
        <v>913</v>
      </c>
      <c r="D47" s="47"/>
      <c r="E47" s="49"/>
      <c r="F47" s="47"/>
      <c r="G47" s="47"/>
      <c r="H47" s="47" t="s">
        <v>920</v>
      </c>
      <c r="I47" s="47" t="s">
        <v>913</v>
      </c>
    </row>
    <row r="48" spans="2:12" ht="30" x14ac:dyDescent="0.4">
      <c r="B48" s="47" t="s">
        <v>905</v>
      </c>
      <c r="C48" s="47" t="s">
        <v>29</v>
      </c>
      <c r="D48" s="47"/>
      <c r="E48" s="49"/>
      <c r="F48" s="47"/>
      <c r="G48" s="47"/>
      <c r="H48" s="47" t="s">
        <v>921</v>
      </c>
      <c r="I48" s="47" t="s">
        <v>29</v>
      </c>
    </row>
    <row r="49" spans="2:9" ht="30" x14ac:dyDescent="0.4">
      <c r="B49" s="47" t="s">
        <v>906</v>
      </c>
      <c r="C49" s="47" t="s">
        <v>914</v>
      </c>
      <c r="D49" s="47"/>
      <c r="E49" s="49"/>
      <c r="F49" s="47"/>
      <c r="G49" s="47"/>
      <c r="H49" s="47" t="s">
        <v>922</v>
      </c>
      <c r="I49" s="47" t="s">
        <v>914</v>
      </c>
    </row>
    <row r="50" spans="2:9" ht="30" x14ac:dyDescent="0.4">
      <c r="B50" s="47" t="s">
        <v>907</v>
      </c>
      <c r="C50" s="47" t="s">
        <v>51</v>
      </c>
      <c r="D50" s="47"/>
      <c r="E50" s="49"/>
      <c r="F50" s="47"/>
      <c r="G50" s="47"/>
      <c r="H50" s="47" t="s">
        <v>923</v>
      </c>
      <c r="I50" s="47" t="s">
        <v>51</v>
      </c>
    </row>
    <row r="51" spans="2:9" ht="30" x14ac:dyDescent="0.4">
      <c r="B51" s="47" t="s">
        <v>908</v>
      </c>
      <c r="C51" s="47" t="s">
        <v>915</v>
      </c>
      <c r="D51" s="47"/>
      <c r="E51" s="49"/>
      <c r="F51" s="47"/>
      <c r="G51" s="47"/>
      <c r="H51" s="47" t="s">
        <v>924</v>
      </c>
      <c r="I51" s="47" t="s">
        <v>915</v>
      </c>
    </row>
    <row r="52" spans="2:9" ht="30" x14ac:dyDescent="0.4">
      <c r="B52" s="47" t="s">
        <v>909</v>
      </c>
      <c r="C52" s="47" t="s">
        <v>916</v>
      </c>
      <c r="D52" s="47"/>
      <c r="E52" s="49"/>
      <c r="F52" s="47"/>
      <c r="G52" s="47"/>
      <c r="H52" s="47" t="s">
        <v>925</v>
      </c>
      <c r="I52" s="47" t="s">
        <v>916</v>
      </c>
    </row>
    <row r="53" spans="2:9" ht="30" x14ac:dyDescent="0.4">
      <c r="B53" s="47" t="s">
        <v>910</v>
      </c>
      <c r="C53" s="47" t="s">
        <v>917</v>
      </c>
      <c r="D53" s="47"/>
      <c r="E53" s="49"/>
      <c r="F53" s="47"/>
      <c r="G53" s="47"/>
      <c r="H53" s="47" t="s">
        <v>926</v>
      </c>
      <c r="I53" s="47" t="s">
        <v>917</v>
      </c>
    </row>
    <row r="54" spans="2:9" ht="30" x14ac:dyDescent="0.4">
      <c r="B54" s="47" t="s">
        <v>911</v>
      </c>
      <c r="C54" s="47" t="s">
        <v>918</v>
      </c>
      <c r="D54" s="47"/>
      <c r="E54" s="49"/>
      <c r="F54" s="47"/>
      <c r="G54" s="47"/>
      <c r="H54" s="47" t="s">
        <v>927</v>
      </c>
      <c r="I54" s="47" t="s">
        <v>918</v>
      </c>
    </row>
    <row r="55" spans="2:9" ht="30" x14ac:dyDescent="0.4">
      <c r="B55" s="47" t="s">
        <v>912</v>
      </c>
      <c r="C55" s="47" t="s">
        <v>918</v>
      </c>
      <c r="D55" s="47"/>
      <c r="E55" s="49"/>
      <c r="F55" s="47"/>
      <c r="G55" s="47"/>
      <c r="H55" s="47" t="s">
        <v>928</v>
      </c>
      <c r="I55" s="47" t="s">
        <v>918</v>
      </c>
    </row>
    <row r="56" spans="2:9" ht="30" x14ac:dyDescent="0.4">
      <c r="B56" s="47"/>
      <c r="C56" s="47"/>
      <c r="D56" s="47"/>
      <c r="E56" s="49"/>
      <c r="F56" s="47"/>
      <c r="G56" s="47"/>
      <c r="H56" s="47"/>
      <c r="I56" s="47"/>
    </row>
    <row r="57" spans="2:9" ht="30" x14ac:dyDescent="0.4">
      <c r="B57" s="47"/>
      <c r="C57" s="47"/>
      <c r="D57" s="47"/>
      <c r="E57" s="49"/>
      <c r="F57" s="47"/>
      <c r="G57" s="47"/>
      <c r="H57" s="47"/>
      <c r="I57" s="47"/>
    </row>
    <row r="58" spans="2:9" ht="30" x14ac:dyDescent="0.4">
      <c r="B58" s="47"/>
      <c r="C58" s="47"/>
      <c r="D58" s="47"/>
      <c r="E58" s="49"/>
      <c r="F58" s="47"/>
      <c r="G58" s="47"/>
      <c r="H58" s="47"/>
      <c r="I58" s="47"/>
    </row>
  </sheetData>
  <phoneticPr fontId="17"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02CCC-AF75-4717-ACFB-3CC6C4991068}">
  <dimension ref="A2:K50"/>
  <sheetViews>
    <sheetView workbookViewId="0"/>
  </sheetViews>
  <sheetFormatPr baseColWidth="10" defaultColWidth="11.42578125" defaultRowHeight="15" x14ac:dyDescent="0.25"/>
  <cols>
    <col min="1" max="3" width="11.42578125" style="21"/>
    <col min="4" max="4" width="72" style="21" customWidth="1"/>
    <col min="5" max="6" width="11.140625" style="21" customWidth="1"/>
    <col min="7" max="9" width="11.42578125" style="21"/>
    <col min="10" max="10" width="16.85546875" style="21" customWidth="1"/>
    <col min="11" max="11" width="76.7109375" style="21" customWidth="1"/>
    <col min="12" max="16384" width="11.42578125" style="21"/>
  </cols>
  <sheetData>
    <row r="2" spans="1:11" ht="26.25" x14ac:dyDescent="0.4">
      <c r="A2" s="22" t="s">
        <v>517</v>
      </c>
      <c r="I2" s="22" t="s">
        <v>586</v>
      </c>
    </row>
    <row r="3" spans="1:11" ht="26.25" x14ac:dyDescent="0.4">
      <c r="A3" s="22"/>
    </row>
    <row r="4" spans="1:11" x14ac:dyDescent="0.25">
      <c r="B4" s="21">
        <v>1</v>
      </c>
      <c r="C4" s="21" t="s">
        <v>512</v>
      </c>
      <c r="D4" s="21" t="s">
        <v>578</v>
      </c>
      <c r="I4" s="21" t="s">
        <v>512</v>
      </c>
      <c r="K4" s="21" t="s">
        <v>578</v>
      </c>
    </row>
    <row r="5" spans="1:11" x14ac:dyDescent="0.25">
      <c r="B5" s="21">
        <v>2</v>
      </c>
      <c r="C5" s="21" t="s">
        <v>513</v>
      </c>
      <c r="D5" s="21" t="s">
        <v>579</v>
      </c>
      <c r="I5" s="21" t="s">
        <v>513</v>
      </c>
      <c r="K5" s="21" t="s">
        <v>579</v>
      </c>
    </row>
    <row r="6" spans="1:11" x14ac:dyDescent="0.25">
      <c r="B6" s="21">
        <v>3</v>
      </c>
      <c r="C6" s="21" t="s">
        <v>514</v>
      </c>
      <c r="D6" s="21" t="s">
        <v>580</v>
      </c>
      <c r="I6" s="21" t="s">
        <v>587</v>
      </c>
    </row>
    <row r="7" spans="1:11" x14ac:dyDescent="0.25">
      <c r="B7" s="21">
        <v>4</v>
      </c>
      <c r="C7" s="21" t="s">
        <v>515</v>
      </c>
      <c r="D7" s="21" t="s">
        <v>581</v>
      </c>
      <c r="J7" s="21" t="s">
        <v>590</v>
      </c>
      <c r="K7" s="21" t="s">
        <v>594</v>
      </c>
    </row>
    <row r="8" spans="1:11" x14ac:dyDescent="0.25">
      <c r="B8" s="21">
        <v>5</v>
      </c>
      <c r="C8" s="21" t="s">
        <v>516</v>
      </c>
      <c r="D8" s="21" t="s">
        <v>582</v>
      </c>
      <c r="J8" s="21" t="s">
        <v>591</v>
      </c>
      <c r="K8" s="21" t="s">
        <v>593</v>
      </c>
    </row>
    <row r="9" spans="1:11" x14ac:dyDescent="0.25">
      <c r="J9" s="21" t="s">
        <v>514</v>
      </c>
      <c r="K9" s="21" t="s">
        <v>592</v>
      </c>
    </row>
    <row r="11" spans="1:11" ht="26.25" x14ac:dyDescent="0.4">
      <c r="A11" s="22" t="s">
        <v>518</v>
      </c>
      <c r="J11" s="21" t="s">
        <v>516</v>
      </c>
      <c r="K11" s="21" t="s">
        <v>595</v>
      </c>
    </row>
    <row r="12" spans="1:11" ht="26.25" x14ac:dyDescent="0.4">
      <c r="A12" s="22"/>
    </row>
    <row r="13" spans="1:11" x14ac:dyDescent="0.25">
      <c r="B13" s="21">
        <v>1</v>
      </c>
      <c r="C13" s="21" t="s">
        <v>519</v>
      </c>
      <c r="D13" s="21" t="s">
        <v>520</v>
      </c>
    </row>
    <row r="14" spans="1:11" x14ac:dyDescent="0.25">
      <c r="B14" s="21">
        <v>2</v>
      </c>
      <c r="C14" s="21" t="s">
        <v>521</v>
      </c>
      <c r="D14" s="21" t="s">
        <v>522</v>
      </c>
    </row>
    <row r="15" spans="1:11" x14ac:dyDescent="0.25">
      <c r="B15" s="21">
        <v>3</v>
      </c>
      <c r="C15" s="21" t="s">
        <v>523</v>
      </c>
      <c r="D15" s="21" t="s">
        <v>524</v>
      </c>
      <c r="J15" s="21" t="s">
        <v>589</v>
      </c>
    </row>
    <row r="16" spans="1:11" x14ac:dyDescent="0.25">
      <c r="B16" s="21">
        <v>4</v>
      </c>
      <c r="C16" s="21" t="s">
        <v>525</v>
      </c>
      <c r="D16" s="21" t="s">
        <v>583</v>
      </c>
      <c r="J16" s="21" t="s">
        <v>596</v>
      </c>
      <c r="K16" s="21" t="s">
        <v>597</v>
      </c>
    </row>
    <row r="17" spans="2:11" x14ac:dyDescent="0.25">
      <c r="J17" s="21" t="s">
        <v>723</v>
      </c>
      <c r="K17" s="21" t="s">
        <v>724</v>
      </c>
    </row>
    <row r="19" spans="2:11" x14ac:dyDescent="0.25">
      <c r="B19" s="21">
        <v>5</v>
      </c>
      <c r="C19" s="21" t="s">
        <v>526</v>
      </c>
      <c r="D19" s="21" t="s">
        <v>527</v>
      </c>
    </row>
    <row r="20" spans="2:11" x14ac:dyDescent="0.25">
      <c r="B20" s="21">
        <v>6</v>
      </c>
      <c r="C20" s="21" t="s">
        <v>528</v>
      </c>
      <c r="D20" s="21" t="s">
        <v>529</v>
      </c>
    </row>
    <row r="21" spans="2:11" x14ac:dyDescent="0.25">
      <c r="B21" s="21">
        <v>7</v>
      </c>
      <c r="C21" s="21" t="s">
        <v>530</v>
      </c>
      <c r="D21" s="21" t="s">
        <v>531</v>
      </c>
    </row>
    <row r="22" spans="2:11" x14ac:dyDescent="0.25">
      <c r="B22" s="21">
        <v>8</v>
      </c>
      <c r="C22" s="21" t="s">
        <v>532</v>
      </c>
      <c r="D22" s="21" t="s">
        <v>533</v>
      </c>
      <c r="J22" s="21" t="s">
        <v>598</v>
      </c>
    </row>
    <row r="23" spans="2:11" x14ac:dyDescent="0.25">
      <c r="B23" s="21">
        <v>9</v>
      </c>
      <c r="C23" s="21" t="s">
        <v>534</v>
      </c>
      <c r="D23" s="21" t="s">
        <v>584</v>
      </c>
    </row>
    <row r="25" spans="2:11" x14ac:dyDescent="0.25">
      <c r="G25" s="21" t="s">
        <v>713</v>
      </c>
    </row>
    <row r="26" spans="2:11" x14ac:dyDescent="0.25">
      <c r="B26" s="21">
        <v>10</v>
      </c>
      <c r="C26" s="21" t="s">
        <v>535</v>
      </c>
      <c r="D26" s="21" t="s">
        <v>536</v>
      </c>
      <c r="G26" s="23" t="s">
        <v>690</v>
      </c>
      <c r="H26" s="23" t="s">
        <v>692</v>
      </c>
      <c r="I26" s="23" t="s">
        <v>694</v>
      </c>
      <c r="J26" s="23" t="s">
        <v>696</v>
      </c>
      <c r="K26" s="23" t="s">
        <v>698</v>
      </c>
    </row>
    <row r="27" spans="2:11" x14ac:dyDescent="0.25">
      <c r="B27" s="21">
        <v>11</v>
      </c>
      <c r="C27" s="21" t="s">
        <v>537</v>
      </c>
      <c r="D27" s="21" t="s">
        <v>538</v>
      </c>
      <c r="G27" s="23" t="s">
        <v>691</v>
      </c>
      <c r="H27" s="23" t="s">
        <v>693</v>
      </c>
      <c r="I27" s="23" t="s">
        <v>695</v>
      </c>
      <c r="J27" s="23" t="s">
        <v>697</v>
      </c>
      <c r="K27" s="23" t="s">
        <v>699</v>
      </c>
    </row>
    <row r="28" spans="2:11" x14ac:dyDescent="0.25">
      <c r="B28" s="21">
        <v>12</v>
      </c>
      <c r="C28" s="21" t="s">
        <v>539</v>
      </c>
      <c r="D28" s="21" t="s">
        <v>540</v>
      </c>
    </row>
    <row r="29" spans="2:11" x14ac:dyDescent="0.25">
      <c r="B29" s="21">
        <v>13</v>
      </c>
      <c r="C29" s="21" t="s">
        <v>541</v>
      </c>
      <c r="D29" s="21" t="s">
        <v>542</v>
      </c>
      <c r="G29" s="21" t="s">
        <v>685</v>
      </c>
      <c r="H29" s="21" t="s">
        <v>686</v>
      </c>
      <c r="I29" s="21" t="s">
        <v>687</v>
      </c>
      <c r="J29" s="21" t="s">
        <v>688</v>
      </c>
      <c r="K29" s="21" t="s">
        <v>689</v>
      </c>
    </row>
    <row r="30" spans="2:11" x14ac:dyDescent="0.25">
      <c r="B30" s="21">
        <v>14</v>
      </c>
      <c r="C30" s="21" t="s">
        <v>543</v>
      </c>
      <c r="D30" s="21" t="s">
        <v>544</v>
      </c>
      <c r="G30" s="21" t="s">
        <v>700</v>
      </c>
      <c r="H30" s="21" t="s">
        <v>701</v>
      </c>
      <c r="I30" s="21" t="s">
        <v>703</v>
      </c>
      <c r="J30" s="21" t="s">
        <v>704</v>
      </c>
      <c r="K30" s="21" t="s">
        <v>702</v>
      </c>
    </row>
    <row r="31" spans="2:11" x14ac:dyDescent="0.25">
      <c r="B31" s="21">
        <v>15</v>
      </c>
      <c r="C31" s="21" t="s">
        <v>545</v>
      </c>
      <c r="D31" s="21" t="s">
        <v>546</v>
      </c>
      <c r="G31" s="21" t="s">
        <v>705</v>
      </c>
      <c r="H31" s="21" t="s">
        <v>706</v>
      </c>
      <c r="I31" s="21" t="s">
        <v>687</v>
      </c>
      <c r="J31" s="21" t="s">
        <v>707</v>
      </c>
      <c r="K31" s="21" t="s">
        <v>708</v>
      </c>
    </row>
    <row r="32" spans="2:11" x14ac:dyDescent="0.25">
      <c r="B32" s="21">
        <v>16</v>
      </c>
      <c r="C32" s="21" t="s">
        <v>547</v>
      </c>
      <c r="D32" s="21" t="s">
        <v>548</v>
      </c>
      <c r="G32" s="21" t="s">
        <v>541</v>
      </c>
      <c r="H32" s="21" t="s">
        <v>709</v>
      </c>
      <c r="I32" s="21" t="s">
        <v>710</v>
      </c>
      <c r="J32" s="21" t="s">
        <v>711</v>
      </c>
      <c r="K32" s="21" t="s">
        <v>712</v>
      </c>
    </row>
    <row r="33" spans="1:4" x14ac:dyDescent="0.25">
      <c r="B33" s="21">
        <v>17</v>
      </c>
      <c r="C33" s="21" t="s">
        <v>549</v>
      </c>
      <c r="D33" s="21" t="s">
        <v>550</v>
      </c>
    </row>
    <row r="34" spans="1:4" x14ac:dyDescent="0.25">
      <c r="B34" s="21">
        <v>18</v>
      </c>
      <c r="C34" s="21" t="s">
        <v>551</v>
      </c>
      <c r="D34" s="21" t="s">
        <v>552</v>
      </c>
    </row>
    <row r="35" spans="1:4" x14ac:dyDescent="0.25">
      <c r="B35" s="21">
        <v>19</v>
      </c>
      <c r="C35" s="21" t="s">
        <v>553</v>
      </c>
      <c r="D35" s="21" t="s">
        <v>554</v>
      </c>
    </row>
    <row r="36" spans="1:4" x14ac:dyDescent="0.25">
      <c r="B36" s="21">
        <v>20</v>
      </c>
      <c r="C36" s="21" t="s">
        <v>555</v>
      </c>
      <c r="D36" s="21" t="s">
        <v>554</v>
      </c>
    </row>
    <row r="37" spans="1:4" x14ac:dyDescent="0.25">
      <c r="B37" s="21">
        <v>21</v>
      </c>
      <c r="C37" s="21" t="s">
        <v>556</v>
      </c>
      <c r="D37" s="21" t="s">
        <v>557</v>
      </c>
    </row>
    <row r="40" spans="1:4" ht="26.25" x14ac:dyDescent="0.4">
      <c r="A40" s="22" t="s">
        <v>558</v>
      </c>
    </row>
    <row r="41" spans="1:4" x14ac:dyDescent="0.25">
      <c r="B41" s="21">
        <v>8</v>
      </c>
      <c r="C41" s="21" t="s">
        <v>559</v>
      </c>
      <c r="D41" s="21" t="s">
        <v>560</v>
      </c>
    </row>
    <row r="42" spans="1:4" x14ac:dyDescent="0.25">
      <c r="B42" s="21">
        <v>9</v>
      </c>
      <c r="C42" s="21" t="s">
        <v>561</v>
      </c>
      <c r="D42" s="21" t="s">
        <v>562</v>
      </c>
    </row>
    <row r="43" spans="1:4" x14ac:dyDescent="0.25">
      <c r="B43" s="21">
        <v>10</v>
      </c>
      <c r="C43" s="21" t="s">
        <v>563</v>
      </c>
      <c r="D43" s="21" t="s">
        <v>564</v>
      </c>
    </row>
    <row r="44" spans="1:4" x14ac:dyDescent="0.25">
      <c r="B44" s="21">
        <v>11</v>
      </c>
      <c r="C44" s="21" t="s">
        <v>565</v>
      </c>
      <c r="D44" s="21" t="s">
        <v>566</v>
      </c>
    </row>
    <row r="45" spans="1:4" x14ac:dyDescent="0.25">
      <c r="B45" s="21">
        <v>12</v>
      </c>
      <c r="C45" s="21" t="s">
        <v>567</v>
      </c>
      <c r="D45" s="21" t="s">
        <v>568</v>
      </c>
    </row>
    <row r="46" spans="1:4" x14ac:dyDescent="0.25">
      <c r="B46" s="21">
        <v>13</v>
      </c>
      <c r="C46" s="21" t="s">
        <v>569</v>
      </c>
      <c r="D46" s="21" t="s">
        <v>570</v>
      </c>
    </row>
    <row r="47" spans="1:4" x14ac:dyDescent="0.25">
      <c r="B47" s="21">
        <v>14</v>
      </c>
      <c r="C47" s="21" t="s">
        <v>571</v>
      </c>
      <c r="D47" s="21" t="s">
        <v>572</v>
      </c>
    </row>
    <row r="48" spans="1:4" x14ac:dyDescent="0.25">
      <c r="B48" s="21">
        <v>15</v>
      </c>
      <c r="C48" s="21" t="s">
        <v>573</v>
      </c>
      <c r="D48" s="21" t="s">
        <v>574</v>
      </c>
    </row>
    <row r="49" spans="2:4" x14ac:dyDescent="0.25">
      <c r="B49" s="21">
        <v>17</v>
      </c>
      <c r="C49" s="21" t="s">
        <v>575</v>
      </c>
      <c r="D49" s="21" t="s">
        <v>576</v>
      </c>
    </row>
    <row r="50" spans="2:4" x14ac:dyDescent="0.25">
      <c r="B50" s="21">
        <v>18</v>
      </c>
      <c r="C50" s="21" t="s">
        <v>577</v>
      </c>
      <c r="D50" s="21" t="s">
        <v>585</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B1DF-D23F-4AAE-96B5-181EBEC611E6}">
  <dimension ref="A3:O53"/>
  <sheetViews>
    <sheetView topLeftCell="A4" workbookViewId="0">
      <selection activeCell="M3" sqref="M3"/>
    </sheetView>
  </sheetViews>
  <sheetFormatPr baseColWidth="10" defaultColWidth="26.140625" defaultRowHeight="15.75" customHeight="1" x14ac:dyDescent="0.25"/>
  <cols>
    <col min="1" max="1" width="26.140625" style="21"/>
    <col min="2" max="2" width="7.28515625" style="21" customWidth="1"/>
    <col min="3" max="3" width="26.140625" style="21"/>
    <col min="4" max="4" width="7.28515625" style="21" customWidth="1"/>
    <col min="5" max="5" width="26.140625" style="21"/>
    <col min="6" max="6" width="7.28515625" style="21" customWidth="1"/>
    <col min="7" max="7" width="26.140625" style="21"/>
    <col min="8" max="8" width="7.28515625" style="21" customWidth="1"/>
    <col min="9" max="9" width="26.140625" style="21"/>
    <col min="10" max="10" width="7.28515625" style="21" customWidth="1"/>
    <col min="11" max="11" width="26.140625" style="21"/>
    <col min="12" max="12" width="7.28515625" style="21" customWidth="1"/>
    <col min="13" max="13" width="26.140625" style="21"/>
    <col min="14" max="14" width="7.28515625" style="21" customWidth="1"/>
    <col min="15" max="15" width="26.140625" style="21"/>
    <col min="16" max="16" width="7.28515625" style="21" customWidth="1"/>
    <col min="17" max="17" width="26.140625" style="21"/>
    <col min="18" max="18" width="7.28515625" style="21" customWidth="1"/>
    <col min="19" max="19" width="26.140625" style="21"/>
    <col min="20" max="20" width="7.28515625" style="21" customWidth="1"/>
    <col min="21" max="16384" width="26.140625" style="21"/>
  </cols>
  <sheetData>
    <row r="3" spans="3:11" ht="15.75" customHeight="1" x14ac:dyDescent="0.25">
      <c r="C3" s="18" t="s">
        <v>395</v>
      </c>
      <c r="E3" s="18" t="s">
        <v>396</v>
      </c>
      <c r="G3" s="21" t="s">
        <v>719</v>
      </c>
    </row>
    <row r="5" spans="3:11" ht="15.75" customHeight="1" x14ac:dyDescent="0.25">
      <c r="C5" s="21" t="s">
        <v>742</v>
      </c>
    </row>
    <row r="7" spans="3:11" ht="15.75" customHeight="1" x14ac:dyDescent="0.25">
      <c r="C7" s="21" t="s">
        <v>705</v>
      </c>
      <c r="E7" s="21" t="s">
        <v>722</v>
      </c>
    </row>
    <row r="10" spans="3:11" ht="15.75" customHeight="1" x14ac:dyDescent="0.25">
      <c r="I10" s="18" t="s">
        <v>979</v>
      </c>
      <c r="K10" s="21" t="s">
        <v>720</v>
      </c>
    </row>
    <row r="12" spans="3:11" ht="15.75" customHeight="1" x14ac:dyDescent="0.25">
      <c r="E12" s="18" t="s">
        <v>391</v>
      </c>
      <c r="I12" s="18" t="s">
        <v>980</v>
      </c>
    </row>
    <row r="13" spans="3:11" ht="15.75" customHeight="1" x14ac:dyDescent="0.25">
      <c r="K13" s="18" t="s">
        <v>384</v>
      </c>
    </row>
    <row r="14" spans="3:11" ht="15.75" customHeight="1" x14ac:dyDescent="0.25">
      <c r="I14" s="18" t="s">
        <v>392</v>
      </c>
      <c r="K14" s="18" t="s">
        <v>385</v>
      </c>
    </row>
    <row r="15" spans="3:11" ht="15.75" customHeight="1" x14ac:dyDescent="0.25">
      <c r="K15" s="18" t="s">
        <v>410</v>
      </c>
    </row>
    <row r="16" spans="3:11" ht="15.75" customHeight="1" x14ac:dyDescent="0.25">
      <c r="I16" s="18" t="s">
        <v>393</v>
      </c>
      <c r="K16" s="18" t="s">
        <v>386</v>
      </c>
    </row>
    <row r="17" spans="1:15" ht="15.75" customHeight="1" x14ac:dyDescent="0.25">
      <c r="E17" s="21" t="s">
        <v>716</v>
      </c>
    </row>
    <row r="20" spans="1:15" ht="15.75" customHeight="1" x14ac:dyDescent="0.25">
      <c r="E20" s="17" t="s">
        <v>381</v>
      </c>
      <c r="G20" s="17" t="s">
        <v>405</v>
      </c>
      <c r="I20" s="17" t="s">
        <v>406</v>
      </c>
      <c r="K20" s="17" t="s">
        <v>407</v>
      </c>
      <c r="M20" s="17" t="s">
        <v>408</v>
      </c>
      <c r="O20" s="17" t="s">
        <v>409</v>
      </c>
    </row>
    <row r="22" spans="1:15" ht="15.75" customHeight="1" x14ac:dyDescent="0.25">
      <c r="G22" s="18" t="s">
        <v>404</v>
      </c>
      <c r="I22" s="18" t="s">
        <v>403</v>
      </c>
    </row>
    <row r="23" spans="1:15" ht="15.75" customHeight="1" x14ac:dyDescent="0.25">
      <c r="G23" s="18" t="s">
        <v>402</v>
      </c>
      <c r="I23" s="18" t="s">
        <v>411</v>
      </c>
    </row>
    <row r="24" spans="1:15" ht="15.75" customHeight="1" x14ac:dyDescent="0.25">
      <c r="A24" s="21" t="s">
        <v>587</v>
      </c>
      <c r="C24" s="21" t="s">
        <v>725</v>
      </c>
    </row>
    <row r="26" spans="1:15" ht="15.75" customHeight="1" x14ac:dyDescent="0.25">
      <c r="C26" s="21" t="s">
        <v>591</v>
      </c>
      <c r="G26" s="21" t="s">
        <v>718</v>
      </c>
      <c r="I26" s="21" t="s">
        <v>740</v>
      </c>
    </row>
    <row r="27" spans="1:15" ht="15.75" customHeight="1" x14ac:dyDescent="0.25">
      <c r="E27" s="21" t="s">
        <v>737</v>
      </c>
    </row>
    <row r="28" spans="1:15" ht="15.75" customHeight="1" x14ac:dyDescent="0.25">
      <c r="C28" s="21" t="s">
        <v>589</v>
      </c>
    </row>
    <row r="29" spans="1:15" ht="15.75" customHeight="1" x14ac:dyDescent="0.25">
      <c r="I29" s="21" t="s">
        <v>727</v>
      </c>
      <c r="M29" s="21" t="s">
        <v>728</v>
      </c>
    </row>
    <row r="30" spans="1:15" ht="15.75" customHeight="1" x14ac:dyDescent="0.25">
      <c r="C30" s="21" t="s">
        <v>739</v>
      </c>
    </row>
    <row r="32" spans="1:15" ht="15.75" customHeight="1" x14ac:dyDescent="0.25">
      <c r="C32" s="21" t="s">
        <v>726</v>
      </c>
    </row>
    <row r="34" spans="3:11" ht="15.75" customHeight="1" x14ac:dyDescent="0.25">
      <c r="C34" s="21" t="s">
        <v>523</v>
      </c>
    </row>
    <row r="37" spans="3:11" ht="15.75" customHeight="1" x14ac:dyDescent="0.25">
      <c r="G37" s="21" t="s">
        <v>732</v>
      </c>
      <c r="H37" s="18"/>
      <c r="I37" s="21" t="s">
        <v>733</v>
      </c>
      <c r="K37" s="21" t="s">
        <v>734</v>
      </c>
    </row>
    <row r="38" spans="3:11" ht="15.75" customHeight="1" x14ac:dyDescent="0.25">
      <c r="C38" s="21" t="s">
        <v>717</v>
      </c>
    </row>
    <row r="42" spans="3:11" ht="15.75" customHeight="1" x14ac:dyDescent="0.25">
      <c r="C42" s="21" t="s">
        <v>685</v>
      </c>
      <c r="E42" s="21" t="s">
        <v>741</v>
      </c>
    </row>
    <row r="43" spans="3:11" ht="15.75" customHeight="1" x14ac:dyDescent="0.25">
      <c r="C43" s="21" t="s">
        <v>700</v>
      </c>
    </row>
    <row r="45" spans="3:11" ht="15.75" customHeight="1" x14ac:dyDescent="0.25">
      <c r="C45" s="21" t="s">
        <v>541</v>
      </c>
    </row>
    <row r="50" spans="1:11" ht="15.75" customHeight="1" x14ac:dyDescent="0.25">
      <c r="A50" s="21" t="s">
        <v>721</v>
      </c>
      <c r="C50" s="21" t="s">
        <v>738</v>
      </c>
    </row>
    <row r="51" spans="1:11" ht="15.75" customHeight="1" x14ac:dyDescent="0.25">
      <c r="E51" s="18" t="s">
        <v>382</v>
      </c>
      <c r="G51" s="18" t="s">
        <v>714</v>
      </c>
      <c r="I51" s="18" t="s">
        <v>715</v>
      </c>
    </row>
    <row r="53" spans="1:11" ht="15.75" customHeight="1" x14ac:dyDescent="0.25">
      <c r="E53" s="18" t="s">
        <v>397</v>
      </c>
      <c r="G53" s="18" t="s">
        <v>398</v>
      </c>
      <c r="I53" s="1" t="s">
        <v>399</v>
      </c>
      <c r="K53" s="1" t="s">
        <v>400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MapGenerator</vt:lpstr>
      <vt:lpstr>MG_sectors</vt:lpstr>
      <vt:lpstr>MG_systems_types</vt:lpstr>
      <vt:lpstr>MG_systems</vt:lpstr>
      <vt:lpstr>Techs</vt:lpstr>
      <vt:lpstr>Resources</vt:lpstr>
      <vt:lpstr>Resources_categories</vt:lpstr>
      <vt:lpstr>Buildings</vt:lpstr>
      <vt:lpstr>Colonies_sizes</vt:lpstr>
      <vt:lpstr>|||</vt:lpstr>
      <vt:lpstr>Equipment</vt:lpstr>
      <vt:lpstr>Units</vt:lpstr>
      <vt:lpstr>Fleet</vt:lpstr>
      <vt:lpstr>Buildings old</vt:lpstr>
      <vt:lpstr>Special techs</vt:lpstr>
      <vt:lpstr>Era</vt:lpstr>
      <vt:lpstr>Era 2</vt:lpstr>
      <vt:lpstr>Ressources</vt:lpstr>
      <vt:lpstr>Productions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Benoit</dc:creator>
  <cp:lastModifiedBy>benoit fourquin</cp:lastModifiedBy>
  <dcterms:created xsi:type="dcterms:W3CDTF">2015-06-05T18:17:20Z</dcterms:created>
  <dcterms:modified xsi:type="dcterms:W3CDTF">2026-02-22T19:52:54Z</dcterms:modified>
</cp:coreProperties>
</file>